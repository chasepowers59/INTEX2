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7.xml" ContentType="application/vnd.openxmlformats-officedocument.spreadsheetml.table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분류목록" sheetId="2" state="visible" r:id="rId2"/>
    <sheet name="전체거래" sheetId="3" state="visible" r:id="rId3"/>
    <sheet name="01월" sheetId="4" state="visible" r:id="rId4"/>
    <sheet name="02월" sheetId="5" state="visible" r:id="rId5"/>
    <sheet name="03월" sheetId="6" state="visible" r:id="rId6"/>
    <sheet name="04월" sheetId="7" state="visible" r:id="rId7"/>
    <sheet name="05월" sheetId="8" state="visible" r:id="rId8"/>
    <sheet name="06월" sheetId="9" state="visible" r:id="rId9"/>
    <sheet name="07월" sheetId="10" state="visible" r:id="rId10"/>
    <sheet name="08월" sheetId="11" state="visible" r:id="rId11"/>
    <sheet name="09월" sheetId="12" state="visible" r:id="rId12"/>
    <sheet name="10월" sheetId="13" state="visible" r:id="rId13"/>
    <sheet name="11월" sheetId="14" state="visible" r:id="rId14"/>
    <sheet name="12월" sheetId="15" state="visible" r:id="rId15"/>
    <sheet name="2025이월거래" sheetId="16" state="visible" r:id="rId16"/>
    <sheet name="원본_명세서요약" sheetId="17" state="visible" r:id="rId17"/>
  </sheets>
  <definedNames>
    <definedName name="_xlnm._FilterDatabase" localSheetId="2" hidden="1">'전체거래'!$A$10:$U$86</definedName>
    <definedName name="_xlnm._FilterDatabase" localSheetId="3" hidden="1">'01월'!$A$10:$U$20</definedName>
    <definedName name="_xlnm._FilterDatabase" localSheetId="4" hidden="1">'02월'!$A$10:$U$18</definedName>
    <definedName name="_xlnm._FilterDatabase" localSheetId="5" hidden="1">'03월'!$A$10:$U$16</definedName>
    <definedName name="_xlnm._FilterDatabase" localSheetId="6" hidden="1">'04월'!$A$10:$U$34</definedName>
    <definedName name="_xlnm._FilterDatabase" localSheetId="7" hidden="1">'05월'!$A$10:$U$38</definedName>
    <definedName name="_xlnm._FilterDatabase" localSheetId="8" hidden="1">'06월'!$A$10:$U$10</definedName>
    <definedName name="_xlnm._FilterDatabase" localSheetId="9" hidden="1">'07월'!$A$10:$U$10</definedName>
    <definedName name="_xlnm._FilterDatabase" localSheetId="10" hidden="1">'08월'!$A$10:$U$10</definedName>
    <definedName name="_xlnm._FilterDatabase" localSheetId="11" hidden="1">'09월'!$A$10:$U$10</definedName>
    <definedName name="_xlnm._FilterDatabase" localSheetId="12" hidden="1">'10월'!$A$10:$U$10</definedName>
    <definedName name="_xlnm._FilterDatabase" localSheetId="13" hidden="1">'11월'!$A$10:$U$10</definedName>
    <definedName name="_xlnm._FilterDatabase" localSheetId="14" hidden="1">'12월'!$A$10:$U$10</definedName>
    <definedName name="_xlnm._FilterDatabase" localSheetId="15" hidden="1">'2025이월거래'!$A$10:$U$13</definedName>
    <definedName name="_xlnm._FilterDatabase" localSheetId="16" hidden="1">'원본_명세서요약'!$A$1:$K$12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3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Table_전체거래" displayName="Table_전체거래" ref="A10:U86" headerRowCount="1">
  <autoFilter ref="A10:U86"/>
  <tableColumns count="21">
    <tableColumn id="1" name="ID"/>
    <tableColumn id="2" name="사용일"/>
    <tableColumn id="3" name="전기일"/>
    <tableColumn id="4" name="카드"/>
    <tableColumn id="5" name="거래유형"/>
    <tableColumn id="6" name="상점/원본설명"/>
    <tableColumn id="7" name="표준상점"/>
    <tableColumn id="8" name="원본_대분류"/>
    <tableColumn id="9" name="원본_세부분류"/>
    <tableColumn id="10" name="상세태그"/>
    <tableColumn id="11" name="원본금액"/>
    <tableColumn id="12" name="지출금액"/>
    <tableColumn id="13" name="환불/크레딧"/>
    <tableColumn id="14" name="결제금액"/>
    <tableColumn id="15" name="순액"/>
    <tableColumn id="16" name="명세서월"/>
    <tableColumn id="17" name="원본파일"/>
    <tableColumn id="18" name="사용자_대분류"/>
    <tableColumn id="19" name="사용자_세부분류"/>
    <tableColumn id="20" name="사용자_메모"/>
    <tableColumn id="21" name="검토필요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01월" displayName="Table_01월" ref="A10:U20" headerRowCount="1">
  <autoFilter ref="A10:U20"/>
  <tableColumns count="21">
    <tableColumn id="1" name="ID"/>
    <tableColumn id="2" name="사용일"/>
    <tableColumn id="3" name="전기일"/>
    <tableColumn id="4" name="카드"/>
    <tableColumn id="5" name="거래유형"/>
    <tableColumn id="6" name="상점/원본설명"/>
    <tableColumn id="7" name="표준상점"/>
    <tableColumn id="8" name="원본_대분류"/>
    <tableColumn id="9" name="원본_세부분류"/>
    <tableColumn id="10" name="상세태그"/>
    <tableColumn id="11" name="원본금액"/>
    <tableColumn id="12" name="지출금액"/>
    <tableColumn id="13" name="환불/크레딧"/>
    <tableColumn id="14" name="결제금액"/>
    <tableColumn id="15" name="순액"/>
    <tableColumn id="16" name="명세서월"/>
    <tableColumn id="17" name="원본파일"/>
    <tableColumn id="18" name="사용자_대분류"/>
    <tableColumn id="19" name="사용자_세부분류"/>
    <tableColumn id="20" name="사용자_메모"/>
    <tableColumn id="21" name="검토필요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le_02월" displayName="Table_02월" ref="A10:U18" headerRowCount="1">
  <autoFilter ref="A10:U18"/>
  <tableColumns count="21">
    <tableColumn id="1" name="ID"/>
    <tableColumn id="2" name="사용일"/>
    <tableColumn id="3" name="전기일"/>
    <tableColumn id="4" name="카드"/>
    <tableColumn id="5" name="거래유형"/>
    <tableColumn id="6" name="상점/원본설명"/>
    <tableColumn id="7" name="표준상점"/>
    <tableColumn id="8" name="원본_대분류"/>
    <tableColumn id="9" name="원본_세부분류"/>
    <tableColumn id="10" name="상세태그"/>
    <tableColumn id="11" name="원본금액"/>
    <tableColumn id="12" name="지출금액"/>
    <tableColumn id="13" name="환불/크레딧"/>
    <tableColumn id="14" name="결제금액"/>
    <tableColumn id="15" name="순액"/>
    <tableColumn id="16" name="명세서월"/>
    <tableColumn id="17" name="원본파일"/>
    <tableColumn id="18" name="사용자_대분류"/>
    <tableColumn id="19" name="사용자_세부분류"/>
    <tableColumn id="20" name="사용자_메모"/>
    <tableColumn id="21" name="검토필요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able_03월" displayName="Table_03월" ref="A10:U16" headerRowCount="1">
  <autoFilter ref="A10:U16"/>
  <tableColumns count="21">
    <tableColumn id="1" name="ID"/>
    <tableColumn id="2" name="사용일"/>
    <tableColumn id="3" name="전기일"/>
    <tableColumn id="4" name="카드"/>
    <tableColumn id="5" name="거래유형"/>
    <tableColumn id="6" name="상점/원본설명"/>
    <tableColumn id="7" name="표준상점"/>
    <tableColumn id="8" name="원본_대분류"/>
    <tableColumn id="9" name="원본_세부분류"/>
    <tableColumn id="10" name="상세태그"/>
    <tableColumn id="11" name="원본금액"/>
    <tableColumn id="12" name="지출금액"/>
    <tableColumn id="13" name="환불/크레딧"/>
    <tableColumn id="14" name="결제금액"/>
    <tableColumn id="15" name="순액"/>
    <tableColumn id="16" name="명세서월"/>
    <tableColumn id="17" name="원본파일"/>
    <tableColumn id="18" name="사용자_대분류"/>
    <tableColumn id="19" name="사용자_세부분류"/>
    <tableColumn id="20" name="사용자_메모"/>
    <tableColumn id="21" name="검토필요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able_04월" displayName="Table_04월" ref="A10:U34" headerRowCount="1">
  <autoFilter ref="A10:U34"/>
  <tableColumns count="21">
    <tableColumn id="1" name="ID"/>
    <tableColumn id="2" name="사용일"/>
    <tableColumn id="3" name="전기일"/>
    <tableColumn id="4" name="카드"/>
    <tableColumn id="5" name="거래유형"/>
    <tableColumn id="6" name="상점/원본설명"/>
    <tableColumn id="7" name="표준상점"/>
    <tableColumn id="8" name="원본_대분류"/>
    <tableColumn id="9" name="원본_세부분류"/>
    <tableColumn id="10" name="상세태그"/>
    <tableColumn id="11" name="원본금액"/>
    <tableColumn id="12" name="지출금액"/>
    <tableColumn id="13" name="환불/크레딧"/>
    <tableColumn id="14" name="결제금액"/>
    <tableColumn id="15" name="순액"/>
    <tableColumn id="16" name="명세서월"/>
    <tableColumn id="17" name="원본파일"/>
    <tableColumn id="18" name="사용자_대분류"/>
    <tableColumn id="19" name="사용자_세부분류"/>
    <tableColumn id="20" name="사용자_메모"/>
    <tableColumn id="21" name="검토필요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able_05월" displayName="Table_05월" ref="A10:U38" headerRowCount="1">
  <autoFilter ref="A10:U38"/>
  <tableColumns count="21">
    <tableColumn id="1" name="ID"/>
    <tableColumn id="2" name="사용일"/>
    <tableColumn id="3" name="전기일"/>
    <tableColumn id="4" name="카드"/>
    <tableColumn id="5" name="거래유형"/>
    <tableColumn id="6" name="상점/원본설명"/>
    <tableColumn id="7" name="표준상점"/>
    <tableColumn id="8" name="원본_대분류"/>
    <tableColumn id="9" name="원본_세부분류"/>
    <tableColumn id="10" name="상세태그"/>
    <tableColumn id="11" name="원본금액"/>
    <tableColumn id="12" name="지출금액"/>
    <tableColumn id="13" name="환불/크레딧"/>
    <tableColumn id="14" name="결제금액"/>
    <tableColumn id="15" name="순액"/>
    <tableColumn id="16" name="명세서월"/>
    <tableColumn id="17" name="원본파일"/>
    <tableColumn id="18" name="사용자_대분류"/>
    <tableColumn id="19" name="사용자_세부분류"/>
    <tableColumn id="20" name="사용자_메모"/>
    <tableColumn id="21" name="검토필요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able_2025이월거래" displayName="Table_2025이월거래" ref="A10:U13" headerRowCount="1">
  <autoFilter ref="A10:U13"/>
  <tableColumns count="21">
    <tableColumn id="1" name="ID"/>
    <tableColumn id="2" name="사용일"/>
    <tableColumn id="3" name="전기일"/>
    <tableColumn id="4" name="카드"/>
    <tableColumn id="5" name="거래유형"/>
    <tableColumn id="6" name="상점/원본설명"/>
    <tableColumn id="7" name="표준상점"/>
    <tableColumn id="8" name="원본_대분류"/>
    <tableColumn id="9" name="원본_세부분류"/>
    <tableColumn id="10" name="상세태그"/>
    <tableColumn id="11" name="원본금액"/>
    <tableColumn id="12" name="지출금액"/>
    <tableColumn id="13" name="환불/크레딧"/>
    <tableColumn id="14" name="결제금액"/>
    <tableColumn id="15" name="순액"/>
    <tableColumn id="16" name="명세서월"/>
    <tableColumn id="17" name="원본파일"/>
    <tableColumn id="18" name="사용자_대분류"/>
    <tableColumn id="19" name="사용자_세부분류"/>
    <tableColumn id="20" name="사용자_메모"/>
    <tableColumn id="21" name="검토필요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2" customWidth="1" min="4" max="4"/>
    <col width="14" customWidth="1" min="5" max="5"/>
    <col width="12" customWidth="1" min="6" max="6"/>
  </cols>
  <sheetData>
    <row r="1">
      <c r="A1" s="1" t="inlineStr">
        <is>
          <t>2026년 카드 사용기록 요약</t>
        </is>
      </c>
      <c r="B1" s="2" t="n"/>
      <c r="C1" s="2" t="n"/>
      <c r="D1" s="2" t="n"/>
      <c r="E1" s="2" t="n"/>
      <c r="F1" s="2" t="n"/>
    </row>
    <row r="2">
      <c r="A2" s="2" t="inlineStr">
        <is>
          <t>월별 탭은 실제 사용일 기준이며, 2025년 12월 이월 거래는 별도 탭에 분리했습니다.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월</t>
        </is>
      </c>
      <c r="B4" s="3" t="inlineStr">
        <is>
          <t>구매 지출 합계</t>
        </is>
      </c>
      <c r="C4" s="3" t="inlineStr">
        <is>
          <t>환불/크레딧 합계</t>
        </is>
      </c>
      <c r="D4" s="3" t="inlineStr">
        <is>
          <t>카드대금 결제 합계</t>
        </is>
      </c>
      <c r="E4" s="3" t="inlineStr">
        <is>
          <t>순액</t>
        </is>
      </c>
      <c r="F4" s="3" t="inlineStr">
        <is>
          <t>거래 수</t>
        </is>
      </c>
    </row>
    <row r="5">
      <c r="A5" s="2" t="inlineStr">
        <is>
          <t>01월</t>
        </is>
      </c>
      <c r="B5" s="4">
        <f>'01월'!$B$3</f>
        <v/>
      </c>
      <c r="C5" s="4">
        <f>'01월'!$B$4</f>
        <v/>
      </c>
      <c r="D5" s="4">
        <f>'01월'!$B$5</f>
        <v/>
      </c>
      <c r="E5" s="4">
        <f>'01월'!$B$6</f>
        <v/>
      </c>
      <c r="F5" s="2">
        <f>'01월'!$B$7</f>
        <v/>
      </c>
    </row>
    <row r="6">
      <c r="A6" s="2" t="inlineStr">
        <is>
          <t>02월</t>
        </is>
      </c>
      <c r="B6" s="4">
        <f>'02월'!$B$3</f>
        <v/>
      </c>
      <c r="C6" s="4">
        <f>'02월'!$B$4</f>
        <v/>
      </c>
      <c r="D6" s="4">
        <f>'02월'!$B$5</f>
        <v/>
      </c>
      <c r="E6" s="4">
        <f>'02월'!$B$6</f>
        <v/>
      </c>
      <c r="F6" s="2">
        <f>'02월'!$B$7</f>
        <v/>
      </c>
    </row>
    <row r="7">
      <c r="A7" s="2" t="inlineStr">
        <is>
          <t>03월</t>
        </is>
      </c>
      <c r="B7" s="4">
        <f>'03월'!$B$3</f>
        <v/>
      </c>
      <c r="C7" s="4">
        <f>'03월'!$B$4</f>
        <v/>
      </c>
      <c r="D7" s="4">
        <f>'03월'!$B$5</f>
        <v/>
      </c>
      <c r="E7" s="4">
        <f>'03월'!$B$6</f>
        <v/>
      </c>
      <c r="F7" s="2">
        <f>'03월'!$B$7</f>
        <v/>
      </c>
    </row>
    <row r="8">
      <c r="A8" s="2" t="inlineStr">
        <is>
          <t>04월</t>
        </is>
      </c>
      <c r="B8" s="4">
        <f>'04월'!$B$3</f>
        <v/>
      </c>
      <c r="C8" s="4">
        <f>'04월'!$B$4</f>
        <v/>
      </c>
      <c r="D8" s="4">
        <f>'04월'!$B$5</f>
        <v/>
      </c>
      <c r="E8" s="4">
        <f>'04월'!$B$6</f>
        <v/>
      </c>
      <c r="F8" s="2">
        <f>'04월'!$B$7</f>
        <v/>
      </c>
    </row>
    <row r="9">
      <c r="A9" s="2" t="inlineStr">
        <is>
          <t>05월</t>
        </is>
      </c>
      <c r="B9" s="4">
        <f>'05월'!$B$3</f>
        <v/>
      </c>
      <c r="C9" s="4">
        <f>'05월'!$B$4</f>
        <v/>
      </c>
      <c r="D9" s="4">
        <f>'05월'!$B$5</f>
        <v/>
      </c>
      <c r="E9" s="4">
        <f>'05월'!$B$6</f>
        <v/>
      </c>
      <c r="F9" s="2">
        <f>'05월'!$B$7</f>
        <v/>
      </c>
    </row>
    <row r="10">
      <c r="A10" s="2" t="inlineStr">
        <is>
          <t>06월</t>
        </is>
      </c>
      <c r="B10" s="4">
        <f>'06월'!$B$3</f>
        <v/>
      </c>
      <c r="C10" s="4">
        <f>'06월'!$B$4</f>
        <v/>
      </c>
      <c r="D10" s="4">
        <f>'06월'!$B$5</f>
        <v/>
      </c>
      <c r="E10" s="4">
        <f>'06월'!$B$6</f>
        <v/>
      </c>
      <c r="F10" s="2">
        <f>'06월'!$B$7</f>
        <v/>
      </c>
    </row>
    <row r="11">
      <c r="A11" s="2" t="inlineStr">
        <is>
          <t>07월</t>
        </is>
      </c>
      <c r="B11" s="4">
        <f>'07월'!$B$3</f>
        <v/>
      </c>
      <c r="C11" s="4">
        <f>'07월'!$B$4</f>
        <v/>
      </c>
      <c r="D11" s="4">
        <f>'07월'!$B$5</f>
        <v/>
      </c>
      <c r="E11" s="4">
        <f>'07월'!$B$6</f>
        <v/>
      </c>
      <c r="F11" s="2">
        <f>'07월'!$B$7</f>
        <v/>
      </c>
    </row>
    <row r="12">
      <c r="A12" s="2" t="inlineStr">
        <is>
          <t>08월</t>
        </is>
      </c>
      <c r="B12" s="4">
        <f>'08월'!$B$3</f>
        <v/>
      </c>
      <c r="C12" s="4">
        <f>'08월'!$B$4</f>
        <v/>
      </c>
      <c r="D12" s="4">
        <f>'08월'!$B$5</f>
        <v/>
      </c>
      <c r="E12" s="4">
        <f>'08월'!$B$6</f>
        <v/>
      </c>
      <c r="F12" s="2">
        <f>'08월'!$B$7</f>
        <v/>
      </c>
    </row>
    <row r="13">
      <c r="A13" s="2" t="inlineStr">
        <is>
          <t>09월</t>
        </is>
      </c>
      <c r="B13" s="4">
        <f>'09월'!$B$3</f>
        <v/>
      </c>
      <c r="C13" s="4">
        <f>'09월'!$B$4</f>
        <v/>
      </c>
      <c r="D13" s="4">
        <f>'09월'!$B$5</f>
        <v/>
      </c>
      <c r="E13" s="4">
        <f>'09월'!$B$6</f>
        <v/>
      </c>
      <c r="F13" s="2">
        <f>'09월'!$B$7</f>
        <v/>
      </c>
    </row>
    <row r="14">
      <c r="A14" s="2" t="inlineStr">
        <is>
          <t>10월</t>
        </is>
      </c>
      <c r="B14" s="4">
        <f>'10월'!$B$3</f>
        <v/>
      </c>
      <c r="C14" s="4">
        <f>'10월'!$B$4</f>
        <v/>
      </c>
      <c r="D14" s="4">
        <f>'10월'!$B$5</f>
        <v/>
      </c>
      <c r="E14" s="4">
        <f>'10월'!$B$6</f>
        <v/>
      </c>
      <c r="F14" s="2">
        <f>'10월'!$B$7</f>
        <v/>
      </c>
    </row>
    <row r="15">
      <c r="A15" s="2" t="inlineStr">
        <is>
          <t>11월</t>
        </is>
      </c>
      <c r="B15" s="4">
        <f>'11월'!$B$3</f>
        <v/>
      </c>
      <c r="C15" s="4">
        <f>'11월'!$B$4</f>
        <v/>
      </c>
      <c r="D15" s="4">
        <f>'11월'!$B$5</f>
        <v/>
      </c>
      <c r="E15" s="4">
        <f>'11월'!$B$6</f>
        <v/>
      </c>
      <c r="F15" s="2">
        <f>'11월'!$B$7</f>
        <v/>
      </c>
    </row>
    <row r="16">
      <c r="A16" s="2" t="inlineStr">
        <is>
          <t>12월</t>
        </is>
      </c>
      <c r="B16" s="4">
        <f>'12월'!$B$3</f>
        <v/>
      </c>
      <c r="C16" s="4">
        <f>'12월'!$B$4</f>
        <v/>
      </c>
      <c r="D16" s="4">
        <f>'12월'!$B$5</f>
        <v/>
      </c>
      <c r="E16" s="4">
        <f>'12월'!$B$6</f>
        <v/>
      </c>
      <c r="F16" s="2">
        <f>'12월'!$B$7</f>
        <v/>
      </c>
    </row>
    <row r="17">
      <c r="A17" s="2" t="n"/>
      <c r="B17" s="4" t="n"/>
      <c r="C17" s="4" t="n"/>
      <c r="D17" s="4" t="n"/>
      <c r="E17" s="4" t="n"/>
      <c r="F17" s="2" t="n"/>
    </row>
    <row r="18">
      <c r="A18" s="2" t="n"/>
      <c r="B18" s="4" t="n"/>
      <c r="C18" s="4" t="n"/>
      <c r="D18" s="4" t="n"/>
      <c r="E18" s="4" t="n"/>
      <c r="F18" s="2" t="n"/>
    </row>
    <row r="19">
      <c r="A19" s="5" t="inlineStr">
        <is>
          <t>기본 대분류별 구매 지출</t>
        </is>
      </c>
      <c r="B19" s="4" t="n"/>
      <c r="C19" s="4" t="n"/>
      <c r="D19" s="4" t="inlineStr">
        <is>
          <t>사용 방법</t>
        </is>
      </c>
      <c r="E19" s="4" t="n"/>
      <c r="F19" s="2" t="n"/>
    </row>
    <row r="20">
      <c r="A20" s="3" t="inlineStr">
        <is>
          <t>대분류</t>
        </is>
      </c>
      <c r="B20" s="6" t="inlineStr">
        <is>
          <t>구매 지출 합계</t>
        </is>
      </c>
      <c r="C20" s="6" t="n"/>
      <c r="D20" s="6" t="inlineStr">
        <is>
          <t>1) 각 월 탭에서 필터로 상점/분류를 확인하세요.</t>
        </is>
      </c>
      <c r="E20" s="6" t="n"/>
      <c r="F20" s="3" t="n"/>
    </row>
    <row r="21">
      <c r="A21" s="2" t="inlineStr">
        <is>
          <t>교통/주유</t>
        </is>
      </c>
      <c r="B21" s="4" t="n">
        <v>394.68</v>
      </c>
      <c r="C21" s="4" t="n"/>
      <c r="D21" s="4" t="inlineStr">
        <is>
          <t>2) 직접 바꾸고 싶은 분류는 사용자_대분류/사용자_세부분류 열에 입력하세요.</t>
        </is>
      </c>
      <c r="E21" s="4" t="n"/>
      <c r="F21" s="2" t="n"/>
    </row>
    <row r="22">
      <c r="A22" s="2" t="inlineStr">
        <is>
          <t>보험</t>
        </is>
      </c>
      <c r="B22" s="4" t="n">
        <v>440</v>
      </c>
      <c r="C22" s="4" t="n"/>
      <c r="D22" s="4" t="inlineStr">
        <is>
          <t>3) 원본_대분류/원본_세부분류는 자동 분류 결과라 비교용으로 남겨두었습니다.</t>
        </is>
      </c>
      <c r="E22" s="4" t="n"/>
      <c r="F22" s="2" t="n"/>
    </row>
    <row r="23">
      <c r="A23" s="2" t="inlineStr">
        <is>
          <t>식료품/생활용품</t>
        </is>
      </c>
      <c r="B23" s="4" t="n">
        <v>1279.72</v>
      </c>
      <c r="C23" s="4" t="n"/>
      <c r="D23" s="4" t="inlineStr">
        <is>
          <t>4) 원본금액이나 거래유형을 바꾸면 월 탭 상단의 합계가 엑셀에서 다시 계산됩니다.</t>
        </is>
      </c>
      <c r="E23" s="4" t="n"/>
      <c r="F23" s="2" t="n"/>
    </row>
    <row r="24">
      <c r="A24" s="2" t="inlineStr">
        <is>
          <t>엔터테인먼트</t>
        </is>
      </c>
      <c r="B24" s="4" t="n">
        <v>64.45999999999999</v>
      </c>
      <c r="C24" s="4" t="n"/>
      <c r="D24" s="4" t="n"/>
      <c r="E24" s="4" t="n"/>
      <c r="F24" s="2" t="n"/>
    </row>
    <row r="25">
      <c r="A25" s="2" t="inlineStr">
        <is>
          <t>온라인쇼핑</t>
        </is>
      </c>
      <c r="B25" s="4" t="n">
        <v>583.29</v>
      </c>
      <c r="C25" s="4" t="n"/>
      <c r="D25" s="4" t="n"/>
      <c r="E25" s="4" t="n"/>
      <c r="F25" s="2" t="n"/>
    </row>
    <row r="26">
      <c r="A26" s="2" t="n"/>
      <c r="B26" s="4" t="n"/>
      <c r="C26" s="4" t="n"/>
      <c r="D26" s="4" t="n"/>
      <c r="E26" s="4" t="n"/>
      <c r="F26" s="2" t="n"/>
    </row>
    <row r="27">
      <c r="A27" s="2" t="n"/>
      <c r="B27" s="4" t="n"/>
      <c r="C27" s="4" t="n"/>
      <c r="D27" s="4" t="n"/>
      <c r="E27" s="4" t="n"/>
      <c r="F27" s="2" t="n"/>
    </row>
    <row r="28">
      <c r="A28" s="2" t="n"/>
      <c r="B28" s="4" t="n"/>
      <c r="C28" s="4" t="n"/>
      <c r="D28" s="4" t="n"/>
      <c r="E28" s="4" t="n"/>
      <c r="F28" s="2" t="n"/>
    </row>
    <row r="29">
      <c r="A29" s="2" t="n"/>
      <c r="B29" s="4" t="n"/>
      <c r="C29" s="4" t="n"/>
      <c r="D29" s="4" t="n"/>
      <c r="E29" s="4" t="n"/>
      <c r="F29" s="2" t="n"/>
    </row>
    <row r="30">
      <c r="A30" s="2" t="n"/>
      <c r="B30" s="4" t="n"/>
      <c r="C30" s="4" t="n"/>
      <c r="D30" s="4" t="n"/>
      <c r="E30" s="4" t="n"/>
      <c r="F30" s="2" t="n"/>
    </row>
    <row r="31">
      <c r="A31" s="2" t="n"/>
      <c r="B31" s="4" t="n"/>
      <c r="C31" s="4" t="n"/>
      <c r="D31" s="4" t="n"/>
      <c r="E31" s="4" t="n"/>
      <c r="F31" s="2" t="n"/>
    </row>
    <row r="32">
      <c r="A32" s="2" t="n"/>
      <c r="B32" s="4" t="n"/>
      <c r="C32" s="4" t="n"/>
      <c r="D32" s="4" t="n"/>
      <c r="E32" s="4" t="n"/>
      <c r="F3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2" customWidth="1" min="4" max="4"/>
  </cols>
  <sheetData>
    <row r="1">
      <c r="A1" s="3" t="inlineStr">
        <is>
          <t>대분류</t>
        </is>
      </c>
      <c r="B1" s="3" t="inlineStr">
        <is>
          <t>세부분류</t>
        </is>
      </c>
      <c r="C1" s="3" t="n"/>
      <c r="D1" s="3" t="inlineStr">
        <is>
          <t>분류 기준</t>
        </is>
      </c>
    </row>
    <row r="2">
      <c r="A2" s="2" t="inlineStr">
        <is>
          <t>식료품/생활용품</t>
        </is>
      </c>
      <c r="B2" s="2" t="inlineStr">
        <is>
          <t>Costco 매장</t>
        </is>
      </c>
      <c r="C2" s="2" t="n"/>
      <c r="D2" s="2" t="inlineStr">
        <is>
          <t>Costco Gas -&gt; 교통/주유 / 주유</t>
        </is>
      </c>
    </row>
    <row r="3">
      <c r="A3" s="2" t="inlineStr">
        <is>
          <t>교통/주유</t>
        </is>
      </c>
      <c r="B3" s="2" t="inlineStr">
        <is>
          <t>Costco 온라인</t>
        </is>
      </c>
      <c r="C3" s="2" t="n"/>
      <c r="D3" s="2" t="inlineStr">
        <is>
          <t>Costco WHSE -&gt; 식료품/생활용품 / Costco 매장</t>
        </is>
      </c>
    </row>
    <row r="4">
      <c r="A4" s="2" t="inlineStr">
        <is>
          <t>온라인쇼핑</t>
        </is>
      </c>
      <c r="B4" s="2" t="inlineStr">
        <is>
          <t>주유</t>
        </is>
      </c>
      <c r="C4" s="2" t="n"/>
      <c r="D4" s="2" t="inlineStr">
        <is>
          <t>WWW COSTCO COM -&gt; 온라인쇼핑 / Costco 온라인</t>
        </is>
      </c>
    </row>
    <row r="5">
      <c r="A5" s="2" t="inlineStr">
        <is>
          <t>보험</t>
        </is>
      </c>
      <c r="B5" s="2" t="inlineStr">
        <is>
          <t>Amazon</t>
        </is>
      </c>
      <c r="C5" s="2" t="n"/>
      <c r="D5" s="2" t="inlineStr">
        <is>
          <t>Amazon -&gt; 온라인쇼핑 / Amazon</t>
        </is>
      </c>
    </row>
    <row r="6">
      <c r="A6" s="2" t="inlineStr">
        <is>
          <t>엔터테인먼트</t>
        </is>
      </c>
      <c r="B6" s="2" t="inlineStr">
        <is>
          <t>자동차보험</t>
        </is>
      </c>
      <c r="C6" s="2" t="n"/>
      <c r="D6" s="2" t="inlineStr">
        <is>
          <t>Progressive Insurance -&gt; 보험 / 자동차보험</t>
        </is>
      </c>
    </row>
    <row r="7">
      <c r="A7" s="2" t="inlineStr">
        <is>
          <t>결제/이체</t>
        </is>
      </c>
      <c r="B7" s="2" t="inlineStr">
        <is>
          <t>게임/디지털</t>
        </is>
      </c>
      <c r="C7" s="2" t="n"/>
      <c r="D7" s="2" t="inlineStr">
        <is>
          <t>Nintendo -&gt; 엔터테인먼트 / 게임/디지털</t>
        </is>
      </c>
    </row>
    <row r="8">
      <c r="A8" s="2" t="inlineStr">
        <is>
          <t>환불/크레딧</t>
        </is>
      </c>
      <c r="B8" s="2" t="inlineStr">
        <is>
          <t>카드대금 결제</t>
        </is>
      </c>
      <c r="C8" s="2" t="n"/>
      <c r="D8" s="2" t="inlineStr">
        <is>
          <t>결제 및 환불은 지출 합계와 별도로 집계</t>
        </is>
      </c>
    </row>
    <row r="9">
      <c r="A9" s="2" t="inlineStr">
        <is>
          <t>기타/확인필요</t>
        </is>
      </c>
      <c r="B9" s="2" t="inlineStr">
        <is>
          <t>환불/반품</t>
        </is>
      </c>
      <c r="C9" s="2" t="n"/>
      <c r="D9" s="2" t="n"/>
    </row>
    <row r="10">
      <c r="A10" s="2" t="n"/>
      <c r="B10" s="2" t="inlineStr">
        <is>
          <t>기타</t>
        </is>
      </c>
      <c r="C10" s="2" t="n"/>
      <c r="D1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2" customWidth="1" min="4" max="4"/>
    <col width="14" customWidth="1" min="5" max="5"/>
    <col width="46" customWidth="1" min="6" max="6"/>
    <col width="24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5" customWidth="1" min="13" max="13"/>
    <col width="15" customWidth="1" min="14" max="14"/>
    <col width="13" customWidth="1" min="15" max="15"/>
    <col width="13" customWidth="1" min="16" max="16"/>
    <col width="42" customWidth="1" min="17" max="17"/>
    <col width="18" customWidth="1" min="18" max="18"/>
    <col width="18" customWidth="1" min="19" max="19"/>
    <col width="32" customWidth="1" min="20" max="20"/>
    <col width="12" customWidth="1" min="21" max="21"/>
  </cols>
  <sheetData>
    <row r="1">
      <c r="A1" s="7" t="inlineStr">
        <is>
          <t>2026년 전체 카드 거래 - 실제 사용일 기준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구매 지출 합계</t>
        </is>
      </c>
      <c r="B3" s="4">
        <f>SUM(L11:L86)</f>
        <v/>
      </c>
      <c r="C3" s="2" t="n"/>
      <c r="D3" s="2" t="inlineStr">
        <is>
          <t>편집 안내</t>
        </is>
      </c>
      <c r="E3" s="2" t="inlineStr">
        <is>
          <t>사용자_대분류/사용자_세부분류/사용자_메모 열은 직접 수정용입니다. 원본 분류는 비교를 위해 보존했습니다.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환불/크레딧 합계</t>
        </is>
      </c>
      <c r="B4" s="4">
        <f>SUM(M11:M86)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카드대금 결제 합계</t>
        </is>
      </c>
      <c r="B5" s="4">
        <f>SUM(N11:N86)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순액</t>
        </is>
      </c>
      <c r="B6" s="4">
        <f>SUM(O11:O86)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거래 수</t>
        </is>
      </c>
      <c r="B7" s="2" t="n">
        <v>76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3" t="inlineStr">
        <is>
          <t>ID</t>
        </is>
      </c>
      <c r="B10" s="3" t="inlineStr">
        <is>
          <t>사용일</t>
        </is>
      </c>
      <c r="C10" s="3" t="inlineStr">
        <is>
          <t>전기일</t>
        </is>
      </c>
      <c r="D10" s="3" t="inlineStr">
        <is>
          <t>카드</t>
        </is>
      </c>
      <c r="E10" s="3" t="inlineStr">
        <is>
          <t>거래유형</t>
        </is>
      </c>
      <c r="F10" s="3" t="inlineStr">
        <is>
          <t>상점/원본설명</t>
        </is>
      </c>
      <c r="G10" s="3" t="inlineStr">
        <is>
          <t>표준상점</t>
        </is>
      </c>
      <c r="H10" s="3" t="inlineStr">
        <is>
          <t>원본_대분류</t>
        </is>
      </c>
      <c r="I10" s="3" t="inlineStr">
        <is>
          <t>원본_세부분류</t>
        </is>
      </c>
      <c r="J10" s="3" t="inlineStr">
        <is>
          <t>상세태그</t>
        </is>
      </c>
      <c r="K10" s="3" t="inlineStr">
        <is>
          <t>원본금액</t>
        </is>
      </c>
      <c r="L10" s="3" t="inlineStr">
        <is>
          <t>지출금액</t>
        </is>
      </c>
      <c r="M10" s="3" t="inlineStr">
        <is>
          <t>환불/크레딧</t>
        </is>
      </c>
      <c r="N10" s="3" t="inlineStr">
        <is>
          <t>결제금액</t>
        </is>
      </c>
      <c r="O10" s="3" t="inlineStr">
        <is>
          <t>순액</t>
        </is>
      </c>
      <c r="P10" s="3" t="inlineStr">
        <is>
          <t>명세서월</t>
        </is>
      </c>
      <c r="Q10" s="3" t="inlineStr">
        <is>
          <t>원본파일</t>
        </is>
      </c>
      <c r="R10" s="3" t="inlineStr">
        <is>
          <t>사용자_대분류</t>
        </is>
      </c>
      <c r="S10" s="3" t="inlineStr">
        <is>
          <t>사용자_세부분류</t>
        </is>
      </c>
      <c r="T10" s="3" t="inlineStr">
        <is>
          <t>사용자_메모</t>
        </is>
      </c>
      <c r="U10" s="3" t="inlineStr">
        <is>
          <t>검토필요</t>
        </is>
      </c>
    </row>
    <row r="11">
      <c r="A11" s="2" t="inlineStr">
        <is>
          <t>20260101-0001</t>
        </is>
      </c>
      <c r="B11" s="8" t="n">
        <v>46023</v>
      </c>
      <c r="C11" s="8" t="n"/>
      <c r="D11" s="2" t="inlineStr">
        <is>
          <t>Costco Anywhere Visa (Citi) ****6858</t>
        </is>
      </c>
      <c r="E11" s="2" t="inlineStr">
        <is>
          <t>결제</t>
        </is>
      </c>
      <c r="F11" s="2" t="inlineStr">
        <is>
          <t>AUTOPAY 240208110646284RAUTOPAY AUTO-PMT</t>
        </is>
      </c>
      <c r="G11" s="2" t="inlineStr">
        <is>
          <t>Card Payment</t>
        </is>
      </c>
      <c r="H11" s="2" t="inlineStr">
        <is>
          <t>결제/이체</t>
        </is>
      </c>
      <c r="I11" s="2" t="inlineStr">
        <is>
          <t>카드대금 결제</t>
        </is>
      </c>
      <c r="J11" s="2" t="inlineStr">
        <is>
          <t>카드결제</t>
        </is>
      </c>
      <c r="K11" s="4" t="n">
        <v>-130.92</v>
      </c>
      <c r="L11" s="4">
        <f>IF($E11="구매",$K11,0)</f>
        <v/>
      </c>
      <c r="M11" s="4">
        <f>IF($E11="환불/크레딧",$K11,0)</f>
        <v/>
      </c>
      <c r="N11" s="4">
        <f>IF($E11="결제",$K11,0)</f>
        <v/>
      </c>
      <c r="O11" s="4">
        <f>$K11</f>
        <v/>
      </c>
      <c r="P11" s="2" t="inlineStr">
        <is>
          <t>2026-01</t>
        </is>
      </c>
      <c r="Q11" s="2" t="inlineStr">
        <is>
          <t>January2026_f0b0.pdf</t>
        </is>
      </c>
      <c r="R11" s="2" t="inlineStr"/>
      <c r="S11" s="2" t="inlineStr"/>
      <c r="T11" s="2" t="inlineStr"/>
      <c r="U11" s="2" t="inlineStr"/>
    </row>
    <row r="12">
      <c r="A12" s="2" t="inlineStr">
        <is>
          <t>20260101-0002</t>
        </is>
      </c>
      <c r="B12" s="8" t="n">
        <v>46023</v>
      </c>
      <c r="C12" s="8" t="n"/>
      <c r="D12" s="2" t="inlineStr">
        <is>
          <t>Costco Anywhere Visa (Citi) ****6858</t>
        </is>
      </c>
      <c r="E12" s="2" t="inlineStr">
        <is>
          <t>결제</t>
        </is>
      </c>
      <c r="F12" s="2" t="inlineStr">
        <is>
          <t>ONLINE PAYMENT, THANK YOU</t>
        </is>
      </c>
      <c r="G12" s="2" t="inlineStr">
        <is>
          <t>Card Payment</t>
        </is>
      </c>
      <c r="H12" s="2" t="inlineStr">
        <is>
          <t>결제/이체</t>
        </is>
      </c>
      <c r="I12" s="2" t="inlineStr">
        <is>
          <t>카드대금 결제</t>
        </is>
      </c>
      <c r="J12" s="2" t="inlineStr">
        <is>
          <t>카드결제</t>
        </is>
      </c>
      <c r="K12" s="4" t="n">
        <v>-275.23</v>
      </c>
      <c r="L12" s="4">
        <f>IF($E12="구매",$K12,0)</f>
        <v/>
      </c>
      <c r="M12" s="4">
        <f>IF($E12="환불/크레딧",$K12,0)</f>
        <v/>
      </c>
      <c r="N12" s="4">
        <f>IF($E12="결제",$K12,0)</f>
        <v/>
      </c>
      <c r="O12" s="4">
        <f>$K12</f>
        <v/>
      </c>
      <c r="P12" s="2" t="inlineStr">
        <is>
          <t>2026-01</t>
        </is>
      </c>
      <c r="Q12" s="2" t="inlineStr">
        <is>
          <t>January2026_f0b0.pdf</t>
        </is>
      </c>
      <c r="R12" s="2" t="inlineStr"/>
      <c r="S12" s="2" t="inlineStr"/>
      <c r="T12" s="2" t="inlineStr"/>
      <c r="U12" s="2" t="inlineStr"/>
    </row>
    <row r="13">
      <c r="A13" s="2" t="inlineStr">
        <is>
          <t>20260105-0003</t>
        </is>
      </c>
      <c r="B13" s="8" t="n">
        <v>46027</v>
      </c>
      <c r="C13" s="8" t="n">
        <v>46028</v>
      </c>
      <c r="D13" s="2" t="inlineStr">
        <is>
          <t>Costco Anywhere Visa (Citi) ****6858</t>
        </is>
      </c>
      <c r="E13" s="2" t="inlineStr">
        <is>
          <t>구매</t>
        </is>
      </c>
      <c r="F13" s="2" t="inlineStr">
        <is>
          <t>COSTCO WHSE #0484 OREM UT</t>
        </is>
      </c>
      <c r="G13" s="2" t="inlineStr">
        <is>
          <t>Costco Warehouse</t>
        </is>
      </c>
      <c r="H13" s="2" t="inlineStr">
        <is>
          <t>식료품/생활용품</t>
        </is>
      </c>
      <c r="I13" s="2" t="inlineStr">
        <is>
          <t>Costco 매장</t>
        </is>
      </c>
      <c r="J13" s="2" t="inlineStr">
        <is>
          <t>Costco 매장</t>
        </is>
      </c>
      <c r="K13" s="4" t="n">
        <v>122.94</v>
      </c>
      <c r="L13" s="4">
        <f>IF($E13="구매",$K13,0)</f>
        <v/>
      </c>
      <c r="M13" s="4">
        <f>IF($E13="환불/크레딧",$K13,0)</f>
        <v/>
      </c>
      <c r="N13" s="4">
        <f>IF($E13="결제",$K13,0)</f>
        <v/>
      </c>
      <c r="O13" s="4">
        <f>$K13</f>
        <v/>
      </c>
      <c r="P13" s="2" t="inlineStr">
        <is>
          <t>2026-01</t>
        </is>
      </c>
      <c r="Q13" s="2" t="inlineStr">
        <is>
          <t>January2026_f0b0.pdf</t>
        </is>
      </c>
      <c r="R13" s="2" t="inlineStr"/>
      <c r="S13" s="2" t="inlineStr"/>
      <c r="T13" s="2" t="inlineStr"/>
      <c r="U13" s="2" t="inlineStr"/>
    </row>
    <row r="14">
      <c r="A14" s="2" t="inlineStr">
        <is>
          <t>20260108-0004</t>
        </is>
      </c>
      <c r="B14" s="8" t="n">
        <v>46030</v>
      </c>
      <c r="C14" s="8" t="n">
        <v>46030</v>
      </c>
      <c r="D14" s="2" t="inlineStr">
        <is>
          <t>Costco Anywhere Visa (Citi) ****6858</t>
        </is>
      </c>
      <c r="E14" s="2" t="inlineStr">
        <is>
          <t>구매</t>
        </is>
      </c>
      <c r="F14" s="2" t="inlineStr">
        <is>
          <t>WWW COSTCO COM 800-955-2292 WA</t>
        </is>
      </c>
      <c r="G14" s="2" t="inlineStr">
        <is>
          <t>Costco Online</t>
        </is>
      </c>
      <c r="H14" s="2" t="inlineStr">
        <is>
          <t>온라인쇼핑</t>
        </is>
      </c>
      <c r="I14" s="2" t="inlineStr">
        <is>
          <t>Costco 온라인</t>
        </is>
      </c>
      <c r="J14" s="2" t="inlineStr">
        <is>
          <t>Costco 온라인</t>
        </is>
      </c>
      <c r="K14" s="4" t="n">
        <v>32.21</v>
      </c>
      <c r="L14" s="4">
        <f>IF($E14="구매",$K14,0)</f>
        <v/>
      </c>
      <c r="M14" s="4">
        <f>IF($E14="환불/크레딧",$K14,0)</f>
        <v/>
      </c>
      <c r="N14" s="4">
        <f>IF($E14="결제",$K14,0)</f>
        <v/>
      </c>
      <c r="O14" s="4">
        <f>$K14</f>
        <v/>
      </c>
      <c r="P14" s="2" t="inlineStr">
        <is>
          <t>2026-02</t>
        </is>
      </c>
      <c r="Q14" s="2" t="inlineStr">
        <is>
          <t>February2026_f8d6.pdf</t>
        </is>
      </c>
      <c r="R14" s="2" t="inlineStr"/>
      <c r="S14" s="2" t="inlineStr"/>
      <c r="T14" s="2" t="inlineStr"/>
      <c r="U14" s="2" t="inlineStr"/>
    </row>
    <row r="15">
      <c r="A15" s="2" t="inlineStr">
        <is>
          <t>20260108-0005</t>
        </is>
      </c>
      <c r="B15" s="8" t="n">
        <v>46030</v>
      </c>
      <c r="C15" s="8" t="n">
        <v>46030</v>
      </c>
      <c r="D15" s="2" t="inlineStr">
        <is>
          <t>Costco Anywhere Visa (Citi) ****6858</t>
        </is>
      </c>
      <c r="E15" s="2" t="inlineStr">
        <is>
          <t>구매</t>
        </is>
      </c>
      <c r="F15" s="2" t="inlineStr">
        <is>
          <t>WWW COSTCO COM 800-955-2292 WA</t>
        </is>
      </c>
      <c r="G15" s="2" t="inlineStr">
        <is>
          <t>Costco Online</t>
        </is>
      </c>
      <c r="H15" s="2" t="inlineStr">
        <is>
          <t>온라인쇼핑</t>
        </is>
      </c>
      <c r="I15" s="2" t="inlineStr">
        <is>
          <t>Costco 온라인</t>
        </is>
      </c>
      <c r="J15" s="2" t="inlineStr">
        <is>
          <t>Costco 온라인</t>
        </is>
      </c>
      <c r="K15" s="4" t="n">
        <v>32.21</v>
      </c>
      <c r="L15" s="4">
        <f>IF($E15="구매",$K15,0)</f>
        <v/>
      </c>
      <c r="M15" s="4">
        <f>IF($E15="환불/크레딧",$K15,0)</f>
        <v/>
      </c>
      <c r="N15" s="4">
        <f>IF($E15="결제",$K15,0)</f>
        <v/>
      </c>
      <c r="O15" s="4">
        <f>$K15</f>
        <v/>
      </c>
      <c r="P15" s="2" t="inlineStr">
        <is>
          <t>2026-02</t>
        </is>
      </c>
      <c r="Q15" s="2" t="inlineStr">
        <is>
          <t>February2026_f8d6.pdf</t>
        </is>
      </c>
      <c r="R15" s="2" t="inlineStr"/>
      <c r="S15" s="2" t="inlineStr"/>
      <c r="T15" s="2" t="inlineStr"/>
      <c r="U15" s="2" t="inlineStr"/>
    </row>
    <row r="16">
      <c r="A16" s="2" t="inlineStr">
        <is>
          <t>20260112-0006</t>
        </is>
      </c>
      <c r="B16" s="8" t="n">
        <v>46034</v>
      </c>
      <c r="C16" s="8" t="n">
        <v>46034</v>
      </c>
      <c r="D16" s="2" t="inlineStr">
        <is>
          <t>Costco Anywhere Visa (Citi) ****6858</t>
        </is>
      </c>
      <c r="E16" s="2" t="inlineStr">
        <is>
          <t>구매</t>
        </is>
      </c>
      <c r="F16" s="2" t="inlineStr">
        <is>
          <t>COSTCO GAS #0484 OREM UT</t>
        </is>
      </c>
      <c r="G16" s="2" t="inlineStr">
        <is>
          <t>Costco Gas</t>
        </is>
      </c>
      <c r="H16" s="2" t="inlineStr">
        <is>
          <t>교통/주유</t>
        </is>
      </c>
      <c r="I16" s="2" t="inlineStr">
        <is>
          <t>주유</t>
        </is>
      </c>
      <c r="J16" s="2" t="inlineStr">
        <is>
          <t>Costco Gas</t>
        </is>
      </c>
      <c r="K16" s="4" t="n">
        <v>29.57</v>
      </c>
      <c r="L16" s="4">
        <f>IF($E16="구매",$K16,0)</f>
        <v/>
      </c>
      <c r="M16" s="4">
        <f>IF($E16="환불/크레딧",$K16,0)</f>
        <v/>
      </c>
      <c r="N16" s="4">
        <f>IF($E16="결제",$K16,0)</f>
        <v/>
      </c>
      <c r="O16" s="4">
        <f>$K16</f>
        <v/>
      </c>
      <c r="P16" s="2" t="inlineStr">
        <is>
          <t>2026-02</t>
        </is>
      </c>
      <c r="Q16" s="2" t="inlineStr">
        <is>
          <t>February2026_f8d6.pdf</t>
        </is>
      </c>
      <c r="R16" s="2" t="inlineStr"/>
      <c r="S16" s="2" t="inlineStr"/>
      <c r="T16" s="2" t="inlineStr"/>
      <c r="U16" s="2" t="inlineStr"/>
    </row>
    <row r="17">
      <c r="A17" s="2" t="inlineStr">
        <is>
          <t>20260112-0007</t>
        </is>
      </c>
      <c r="B17" s="8" t="n">
        <v>46034</v>
      </c>
      <c r="C17" s="8" t="n">
        <v>46034</v>
      </c>
      <c r="D17" s="2" t="inlineStr">
        <is>
          <t>Costco Anywhere Visa (Citi) ****6858</t>
        </is>
      </c>
      <c r="E17" s="2" t="inlineStr">
        <is>
          <t>구매</t>
        </is>
      </c>
      <c r="F17" s="2" t="inlineStr">
        <is>
          <t>COSTCO WHSE #0484 OREM UT</t>
        </is>
      </c>
      <c r="G17" s="2" t="inlineStr">
        <is>
          <t>Costco Warehouse</t>
        </is>
      </c>
      <c r="H17" s="2" t="inlineStr">
        <is>
          <t>식료품/생활용품</t>
        </is>
      </c>
      <c r="I17" s="2" t="inlineStr">
        <is>
          <t>Costco 매장</t>
        </is>
      </c>
      <c r="J17" s="2" t="inlineStr">
        <is>
          <t>Costco 매장</t>
        </is>
      </c>
      <c r="K17" s="4" t="n">
        <v>16.25</v>
      </c>
      <c r="L17" s="4">
        <f>IF($E17="구매",$K17,0)</f>
        <v/>
      </c>
      <c r="M17" s="4">
        <f>IF($E17="환불/크레딧",$K17,0)</f>
        <v/>
      </c>
      <c r="N17" s="4">
        <f>IF($E17="결제",$K17,0)</f>
        <v/>
      </c>
      <c r="O17" s="4">
        <f>$K17</f>
        <v/>
      </c>
      <c r="P17" s="2" t="inlineStr">
        <is>
          <t>2026-02</t>
        </is>
      </c>
      <c r="Q17" s="2" t="inlineStr">
        <is>
          <t>February2026_f8d6.pdf</t>
        </is>
      </c>
      <c r="R17" s="2" t="inlineStr"/>
      <c r="S17" s="2" t="inlineStr"/>
      <c r="T17" s="2" t="inlineStr"/>
      <c r="U17" s="2" t="inlineStr"/>
    </row>
    <row r="18">
      <c r="A18" s="2" t="inlineStr">
        <is>
          <t>20260124-0008</t>
        </is>
      </c>
      <c r="B18" s="8" t="n">
        <v>46046</v>
      </c>
      <c r="C18" s="8" t="n">
        <v>46046</v>
      </c>
      <c r="D18" s="2" t="inlineStr">
        <is>
          <t>Costco Anywhere Visa (Citi) ****6858</t>
        </is>
      </c>
      <c r="E18" s="2" t="inlineStr">
        <is>
          <t>구매</t>
        </is>
      </c>
      <c r="F18" s="2" t="inlineStr">
        <is>
          <t>COSTCO WHSE #0484 OREM UT</t>
        </is>
      </c>
      <c r="G18" s="2" t="inlineStr">
        <is>
          <t>Costco Warehouse</t>
        </is>
      </c>
      <c r="H18" s="2" t="inlineStr">
        <is>
          <t>식료품/생활용품</t>
        </is>
      </c>
      <c r="I18" s="2" t="inlineStr">
        <is>
          <t>Costco 매장</t>
        </is>
      </c>
      <c r="J18" s="2" t="inlineStr">
        <is>
          <t>Costco 매장</t>
        </is>
      </c>
      <c r="K18" s="4" t="n">
        <v>60.11</v>
      </c>
      <c r="L18" s="4">
        <f>IF($E18="구매",$K18,0)</f>
        <v/>
      </c>
      <c r="M18" s="4">
        <f>IF($E18="환불/크레딧",$K18,0)</f>
        <v/>
      </c>
      <c r="N18" s="4">
        <f>IF($E18="결제",$K18,0)</f>
        <v/>
      </c>
      <c r="O18" s="4">
        <f>$K18</f>
        <v/>
      </c>
      <c r="P18" s="2" t="inlineStr">
        <is>
          <t>2026-02</t>
        </is>
      </c>
      <c r="Q18" s="2" t="inlineStr">
        <is>
          <t>February2026_f8d6.pdf</t>
        </is>
      </c>
      <c r="R18" s="2" t="inlineStr"/>
      <c r="S18" s="2" t="inlineStr"/>
      <c r="T18" s="2" t="inlineStr"/>
      <c r="U18" s="2" t="inlineStr"/>
    </row>
    <row r="19">
      <c r="A19" s="2" t="inlineStr">
        <is>
          <t>20260127-0009</t>
        </is>
      </c>
      <c r="B19" s="8" t="n">
        <v>46049</v>
      </c>
      <c r="C19" s="8" t="n"/>
      <c r="D19" s="2" t="inlineStr">
        <is>
          <t>Costco Anywhere Visa (Citi) ****6858</t>
        </is>
      </c>
      <c r="E19" s="2" t="inlineStr">
        <is>
          <t>결제</t>
        </is>
      </c>
      <c r="F19" s="2" t="inlineStr">
        <is>
          <t>ONLINE PAYMENT, THANK YOU</t>
        </is>
      </c>
      <c r="G19" s="2" t="inlineStr">
        <is>
          <t>Card Payment</t>
        </is>
      </c>
      <c r="H19" s="2" t="inlineStr">
        <is>
          <t>결제/이체</t>
        </is>
      </c>
      <c r="I19" s="2" t="inlineStr">
        <is>
          <t>카드대금 결제</t>
        </is>
      </c>
      <c r="J19" s="2" t="inlineStr">
        <is>
          <t>카드결제</t>
        </is>
      </c>
      <c r="K19" s="4" t="n">
        <v>-162.37</v>
      </c>
      <c r="L19" s="4">
        <f>IF($E19="구매",$K19,0)</f>
        <v/>
      </c>
      <c r="M19" s="4">
        <f>IF($E19="환불/크레딧",$K19,0)</f>
        <v/>
      </c>
      <c r="N19" s="4">
        <f>IF($E19="결제",$K19,0)</f>
        <v/>
      </c>
      <c r="O19" s="4">
        <f>$K19</f>
        <v/>
      </c>
      <c r="P19" s="2" t="inlineStr">
        <is>
          <t>2026-02</t>
        </is>
      </c>
      <c r="Q19" s="2" t="inlineStr">
        <is>
          <t>February2026_f8d6.pdf</t>
        </is>
      </c>
      <c r="R19" s="2" t="inlineStr"/>
      <c r="S19" s="2" t="inlineStr"/>
      <c r="T19" s="2" t="inlineStr"/>
      <c r="U19" s="2" t="inlineStr"/>
    </row>
    <row r="20">
      <c r="A20" s="2" t="inlineStr">
        <is>
          <t>20260130-0010</t>
        </is>
      </c>
      <c r="B20" s="8" t="n">
        <v>46052</v>
      </c>
      <c r="C20" s="8" t="n">
        <v>46052</v>
      </c>
      <c r="D20" s="2" t="inlineStr">
        <is>
          <t>Costco Anywhere Visa (Citi) ****6858</t>
        </is>
      </c>
      <c r="E20" s="2" t="inlineStr">
        <is>
          <t>구매</t>
        </is>
      </c>
      <c r="F20" s="2" t="inlineStr">
        <is>
          <t>COSTCO GAS #0484 OREM UT</t>
        </is>
      </c>
      <c r="G20" s="2" t="inlineStr">
        <is>
          <t>Costco Gas</t>
        </is>
      </c>
      <c r="H20" s="2" t="inlineStr">
        <is>
          <t>교통/주유</t>
        </is>
      </c>
      <c r="I20" s="2" t="inlineStr">
        <is>
          <t>주유</t>
        </is>
      </c>
      <c r="J20" s="2" t="inlineStr">
        <is>
          <t>Costco Gas</t>
        </is>
      </c>
      <c r="K20" s="4" t="n">
        <v>33.6</v>
      </c>
      <c r="L20" s="4">
        <f>IF($E20="구매",$K20,0)</f>
        <v/>
      </c>
      <c r="M20" s="4">
        <f>IF($E20="환불/크레딧",$K20,0)</f>
        <v/>
      </c>
      <c r="N20" s="4">
        <f>IF($E20="결제",$K20,0)</f>
        <v/>
      </c>
      <c r="O20" s="4">
        <f>$K20</f>
        <v/>
      </c>
      <c r="P20" s="2" t="inlineStr">
        <is>
          <t>2026-02</t>
        </is>
      </c>
      <c r="Q20" s="2" t="inlineStr">
        <is>
          <t>February2026_f8d6.pdf</t>
        </is>
      </c>
      <c r="R20" s="2" t="inlineStr"/>
      <c r="S20" s="2" t="inlineStr"/>
      <c r="T20" s="2" t="inlineStr"/>
      <c r="U20" s="2" t="inlineStr"/>
    </row>
    <row r="21">
      <c r="A21" s="2" t="inlineStr">
        <is>
          <t>20260210-0011</t>
        </is>
      </c>
      <c r="B21" s="8" t="n">
        <v>46063</v>
      </c>
      <c r="C21" s="8" t="n">
        <v>46063</v>
      </c>
      <c r="D21" s="2" t="inlineStr">
        <is>
          <t>Costco Anywhere Visa (Citi) ****6858</t>
        </is>
      </c>
      <c r="E21" s="2" t="inlineStr">
        <is>
          <t>구매</t>
        </is>
      </c>
      <c r="F21" s="2" t="inlineStr">
        <is>
          <t>COSTCO WHSE #0484 OREM UT</t>
        </is>
      </c>
      <c r="G21" s="2" t="inlineStr">
        <is>
          <t>Costco Warehouse</t>
        </is>
      </c>
      <c r="H21" s="2" t="inlineStr">
        <is>
          <t>식료품/생활용품</t>
        </is>
      </c>
      <c r="I21" s="2" t="inlineStr">
        <is>
          <t>Costco 매장</t>
        </is>
      </c>
      <c r="J21" s="2" t="inlineStr">
        <is>
          <t>Costco 매장</t>
        </is>
      </c>
      <c r="K21" s="4" t="n">
        <v>62.16</v>
      </c>
      <c r="L21" s="4">
        <f>IF($E21="구매",$K21,0)</f>
        <v/>
      </c>
      <c r="M21" s="4">
        <f>IF($E21="환불/크레딧",$K21,0)</f>
        <v/>
      </c>
      <c r="N21" s="4">
        <f>IF($E21="결제",$K21,0)</f>
        <v/>
      </c>
      <c r="O21" s="4">
        <f>$K21</f>
        <v/>
      </c>
      <c r="P21" s="2" t="inlineStr">
        <is>
          <t>2026-03</t>
        </is>
      </c>
      <c r="Q21" s="2" t="inlineStr">
        <is>
          <t>March2026_da89.pdf</t>
        </is>
      </c>
      <c r="R21" s="2" t="inlineStr"/>
      <c r="S21" s="2" t="inlineStr"/>
      <c r="T21" s="2" t="inlineStr"/>
      <c r="U21" s="2" t="inlineStr"/>
    </row>
    <row r="22">
      <c r="A22" s="2" t="inlineStr">
        <is>
          <t>20260211-0012</t>
        </is>
      </c>
      <c r="B22" s="8" t="n">
        <v>46064</v>
      </c>
      <c r="C22" s="8" t="n"/>
      <c r="D22" s="2" t="inlineStr">
        <is>
          <t>Prime Visa (Chase) ****6217</t>
        </is>
      </c>
      <c r="E22" s="2" t="inlineStr">
        <is>
          <t>구매</t>
        </is>
      </c>
      <c r="F22" s="2" t="inlineStr">
        <is>
          <t>AMAZON MKTPL*FL11A1493 Amzn.com/bill WA</t>
        </is>
      </c>
      <c r="G22" s="2" t="inlineStr">
        <is>
          <t>Amazon</t>
        </is>
      </c>
      <c r="H22" s="2" t="inlineStr">
        <is>
          <t>온라인쇼핑</t>
        </is>
      </c>
      <c r="I22" s="2" t="inlineStr">
        <is>
          <t>Amazon</t>
        </is>
      </c>
      <c r="J22" s="2" t="inlineStr">
        <is>
          <t>Amazon</t>
        </is>
      </c>
      <c r="K22" s="4" t="n">
        <v>0.53</v>
      </c>
      <c r="L22" s="4">
        <f>IF($E22="구매",$K22,0)</f>
        <v/>
      </c>
      <c r="M22" s="4">
        <f>IF($E22="환불/크레딧",$K22,0)</f>
        <v/>
      </c>
      <c r="N22" s="4">
        <f>IF($E22="결제",$K22,0)</f>
        <v/>
      </c>
      <c r="O22" s="4">
        <f>$K22</f>
        <v/>
      </c>
      <c r="P22" s="2" t="inlineStr">
        <is>
          <t>2026-02</t>
        </is>
      </c>
      <c r="Q22" s="2" t="inlineStr">
        <is>
          <t>B3CDA793-1958-4FE0-A464-444F7501BD7F-list_3284.pdf</t>
        </is>
      </c>
      <c r="R22" s="2" t="inlineStr"/>
      <c r="S22" s="2" t="inlineStr"/>
      <c r="T22" s="2" t="inlineStr"/>
      <c r="U22" s="2" t="inlineStr"/>
    </row>
    <row r="23">
      <c r="A23" s="2" t="inlineStr">
        <is>
          <t>20260219-0013</t>
        </is>
      </c>
      <c r="B23" s="8" t="n">
        <v>46072</v>
      </c>
      <c r="C23" s="8" t="n">
        <v>46072</v>
      </c>
      <c r="D23" s="2" t="inlineStr">
        <is>
          <t>Costco Anywhere Visa (Citi) ****6858</t>
        </is>
      </c>
      <c r="E23" s="2" t="inlineStr">
        <is>
          <t>구매</t>
        </is>
      </c>
      <c r="F23" s="2" t="inlineStr">
        <is>
          <t>COSTCO GAS #0484 OREM UT</t>
        </is>
      </c>
      <c r="G23" s="2" t="inlineStr">
        <is>
          <t>Costco Gas</t>
        </is>
      </c>
      <c r="H23" s="2" t="inlineStr">
        <is>
          <t>교통/주유</t>
        </is>
      </c>
      <c r="I23" s="2" t="inlineStr">
        <is>
          <t>주유</t>
        </is>
      </c>
      <c r="J23" s="2" t="inlineStr">
        <is>
          <t>Costco Gas</t>
        </is>
      </c>
      <c r="K23" s="4" t="n">
        <v>27.06</v>
      </c>
      <c r="L23" s="4">
        <f>IF($E23="구매",$K23,0)</f>
        <v/>
      </c>
      <c r="M23" s="4">
        <f>IF($E23="환불/크레딧",$K23,0)</f>
        <v/>
      </c>
      <c r="N23" s="4">
        <f>IF($E23="결제",$K23,0)</f>
        <v/>
      </c>
      <c r="O23" s="4">
        <f>$K23</f>
        <v/>
      </c>
      <c r="P23" s="2" t="inlineStr">
        <is>
          <t>2026-03</t>
        </is>
      </c>
      <c r="Q23" s="2" t="inlineStr">
        <is>
          <t>March2026_da89.pdf</t>
        </is>
      </c>
      <c r="R23" s="2" t="inlineStr"/>
      <c r="S23" s="2" t="inlineStr"/>
      <c r="T23" s="2" t="inlineStr"/>
      <c r="U23" s="2" t="inlineStr"/>
    </row>
    <row r="24">
      <c r="A24" s="2" t="inlineStr">
        <is>
          <t>20260219-0014</t>
        </is>
      </c>
      <c r="B24" s="8" t="n">
        <v>46072</v>
      </c>
      <c r="C24" s="8" t="n">
        <v>46072</v>
      </c>
      <c r="D24" s="2" t="inlineStr">
        <is>
          <t>Costco Anywhere Visa (Citi) ****6858</t>
        </is>
      </c>
      <c r="E24" s="2" t="inlineStr">
        <is>
          <t>구매</t>
        </is>
      </c>
      <c r="F24" s="2" t="inlineStr">
        <is>
          <t>COSTCO WHSE #0484 OREM UT</t>
        </is>
      </c>
      <c r="G24" s="2" t="inlineStr">
        <is>
          <t>Costco Warehouse</t>
        </is>
      </c>
      <c r="H24" s="2" t="inlineStr">
        <is>
          <t>식료품/생활용품</t>
        </is>
      </c>
      <c r="I24" s="2" t="inlineStr">
        <is>
          <t>Costco 매장</t>
        </is>
      </c>
      <c r="J24" s="2" t="inlineStr">
        <is>
          <t>Costco 매장</t>
        </is>
      </c>
      <c r="K24" s="4" t="n">
        <v>257.87</v>
      </c>
      <c r="L24" s="4">
        <f>IF($E24="구매",$K24,0)</f>
        <v/>
      </c>
      <c r="M24" s="4">
        <f>IF($E24="환불/크레딧",$K24,0)</f>
        <v/>
      </c>
      <c r="N24" s="4">
        <f>IF($E24="결제",$K24,0)</f>
        <v/>
      </c>
      <c r="O24" s="4">
        <f>$K24</f>
        <v/>
      </c>
      <c r="P24" s="2" t="inlineStr">
        <is>
          <t>2026-03</t>
        </is>
      </c>
      <c r="Q24" s="2" t="inlineStr">
        <is>
          <t>March2026_da89.pdf</t>
        </is>
      </c>
      <c r="R24" s="2" t="inlineStr"/>
      <c r="S24" s="2" t="inlineStr"/>
      <c r="T24" s="2" t="inlineStr"/>
      <c r="U24" s="2" t="inlineStr"/>
    </row>
    <row r="25">
      <c r="A25" s="2" t="inlineStr">
        <is>
          <t>20260224-0015</t>
        </is>
      </c>
      <c r="B25" s="8" t="n">
        <v>46077</v>
      </c>
      <c r="C25" s="8" t="n">
        <v>46077</v>
      </c>
      <c r="D25" s="2" t="inlineStr">
        <is>
          <t>Costco Anywhere Visa (Citi) ****6858</t>
        </is>
      </c>
      <c r="E25" s="2" t="inlineStr">
        <is>
          <t>구매</t>
        </is>
      </c>
      <c r="F25" s="2" t="inlineStr">
        <is>
          <t>COSTCO WHSE #0484 OREM UT</t>
        </is>
      </c>
      <c r="G25" s="2" t="inlineStr">
        <is>
          <t>Costco Warehouse</t>
        </is>
      </c>
      <c r="H25" s="2" t="inlineStr">
        <is>
          <t>식료품/생활용품</t>
        </is>
      </c>
      <c r="I25" s="2" t="inlineStr">
        <is>
          <t>Costco 매장</t>
        </is>
      </c>
      <c r="J25" s="2" t="inlineStr">
        <is>
          <t>Costco 매장</t>
        </is>
      </c>
      <c r="K25" s="4" t="n">
        <v>12.88</v>
      </c>
      <c r="L25" s="4">
        <f>IF($E25="구매",$K25,0)</f>
        <v/>
      </c>
      <c r="M25" s="4">
        <f>IF($E25="환불/크레딧",$K25,0)</f>
        <v/>
      </c>
      <c r="N25" s="4">
        <f>IF($E25="결제",$K25,0)</f>
        <v/>
      </c>
      <c r="O25" s="4">
        <f>$K25</f>
        <v/>
      </c>
      <c r="P25" s="2" t="inlineStr">
        <is>
          <t>2026-03</t>
        </is>
      </c>
      <c r="Q25" s="2" t="inlineStr">
        <is>
          <t>March2026_da89.pdf</t>
        </is>
      </c>
      <c r="R25" s="2" t="inlineStr"/>
      <c r="S25" s="2" t="inlineStr"/>
      <c r="T25" s="2" t="inlineStr"/>
      <c r="U25" s="2" t="inlineStr"/>
    </row>
    <row r="26">
      <c r="A26" s="2" t="inlineStr">
        <is>
          <t>20260224-0016</t>
        </is>
      </c>
      <c r="B26" s="8" t="n">
        <v>46077</v>
      </c>
      <c r="C26" s="8" t="n"/>
      <c r="D26" s="2" t="inlineStr">
        <is>
          <t>Costco Anywhere Visa (Citi) ****6858</t>
        </is>
      </c>
      <c r="E26" s="2" t="inlineStr">
        <is>
          <t>결제</t>
        </is>
      </c>
      <c r="F26" s="2" t="inlineStr">
        <is>
          <t>ONLINE PAYMENT, THANK YOU</t>
        </is>
      </c>
      <c r="G26" s="2" t="inlineStr">
        <is>
          <t>Card Payment</t>
        </is>
      </c>
      <c r="H26" s="2" t="inlineStr">
        <is>
          <t>결제/이체</t>
        </is>
      </c>
      <c r="I26" s="2" t="inlineStr">
        <is>
          <t>카드대금 결제</t>
        </is>
      </c>
      <c r="J26" s="2" t="inlineStr">
        <is>
          <t>카드결제</t>
        </is>
      </c>
      <c r="K26" s="4" t="n">
        <v>-380.69</v>
      </c>
      <c r="L26" s="4">
        <f>IF($E26="구매",$K26,0)</f>
        <v/>
      </c>
      <c r="M26" s="4">
        <f>IF($E26="환불/크레딧",$K26,0)</f>
        <v/>
      </c>
      <c r="N26" s="4">
        <f>IF($E26="결제",$K26,0)</f>
        <v/>
      </c>
      <c r="O26" s="4">
        <f>$K26</f>
        <v/>
      </c>
      <c r="P26" s="2" t="inlineStr">
        <is>
          <t>2026-03</t>
        </is>
      </c>
      <c r="Q26" s="2" t="inlineStr">
        <is>
          <t>March2026_da89.pdf</t>
        </is>
      </c>
      <c r="R26" s="2" t="inlineStr"/>
      <c r="S26" s="2" t="inlineStr"/>
      <c r="T26" s="2" t="inlineStr"/>
      <c r="U26" s="2" t="inlineStr"/>
    </row>
    <row r="27">
      <c r="A27" s="2" t="inlineStr">
        <is>
          <t>20260227-0017</t>
        </is>
      </c>
      <c r="B27" s="8" t="n">
        <v>46080</v>
      </c>
      <c r="C27" s="8" t="n">
        <v>46080</v>
      </c>
      <c r="D27" s="2" t="inlineStr">
        <is>
          <t>Costco Anywhere Visa (Citi) ****6858</t>
        </is>
      </c>
      <c r="E27" s="2" t="inlineStr">
        <is>
          <t>구매</t>
        </is>
      </c>
      <c r="F27" s="2" t="inlineStr">
        <is>
          <t>COSTCO WHSE #0484 OREM UT</t>
        </is>
      </c>
      <c r="G27" s="2" t="inlineStr">
        <is>
          <t>Costco Warehouse</t>
        </is>
      </c>
      <c r="H27" s="2" t="inlineStr">
        <is>
          <t>식료품/생활용품</t>
        </is>
      </c>
      <c r="I27" s="2" t="inlineStr">
        <is>
          <t>Costco 매장</t>
        </is>
      </c>
      <c r="J27" s="2" t="inlineStr">
        <is>
          <t>Costco 매장</t>
        </is>
      </c>
      <c r="K27" s="4" t="n">
        <v>193.4</v>
      </c>
      <c r="L27" s="4">
        <f>IF($E27="구매",$K27,0)</f>
        <v/>
      </c>
      <c r="M27" s="4">
        <f>IF($E27="환불/크레딧",$K27,0)</f>
        <v/>
      </c>
      <c r="N27" s="4">
        <f>IF($E27="결제",$K27,0)</f>
        <v/>
      </c>
      <c r="O27" s="4">
        <f>$K27</f>
        <v/>
      </c>
      <c r="P27" s="2" t="inlineStr">
        <is>
          <t>2026-03</t>
        </is>
      </c>
      <c r="Q27" s="2" t="inlineStr">
        <is>
          <t>March2026_da89.pdf</t>
        </is>
      </c>
      <c r="R27" s="2" t="inlineStr"/>
      <c r="S27" s="2" t="inlineStr"/>
      <c r="T27" s="2" t="inlineStr"/>
      <c r="U27" s="2" t="inlineStr"/>
    </row>
    <row r="28">
      <c r="A28" s="2" t="inlineStr">
        <is>
          <t>20260228-0018</t>
        </is>
      </c>
      <c r="B28" s="8" t="n">
        <v>46081</v>
      </c>
      <c r="C28" s="8" t="n"/>
      <c r="D28" s="2" t="inlineStr">
        <is>
          <t>Costco Anywhere Visa (Citi) ****6858</t>
        </is>
      </c>
      <c r="E28" s="2" t="inlineStr">
        <is>
          <t>환불/크레딧</t>
        </is>
      </c>
      <c r="F28" s="2" t="inlineStr">
        <is>
          <t>WWW COSTCO COM 800-955-2292 WA</t>
        </is>
      </c>
      <c r="G28" s="2" t="inlineStr">
        <is>
          <t>Costco</t>
        </is>
      </c>
      <c r="H28" s="2" t="inlineStr">
        <is>
          <t>환불/크레딧</t>
        </is>
      </c>
      <c r="I28" s="2" t="inlineStr">
        <is>
          <t>환불/반품</t>
        </is>
      </c>
      <c r="J28" s="2" t="inlineStr">
        <is>
          <t>Costco 환불</t>
        </is>
      </c>
      <c r="K28" s="4" t="n">
        <v>-32.21</v>
      </c>
      <c r="L28" s="4">
        <f>IF($E28="구매",$K28,0)</f>
        <v/>
      </c>
      <c r="M28" s="4">
        <f>IF($E28="환불/크레딧",$K28,0)</f>
        <v/>
      </c>
      <c r="N28" s="4">
        <f>IF($E28="결제",$K28,0)</f>
        <v/>
      </c>
      <c r="O28" s="4">
        <f>$K28</f>
        <v/>
      </c>
      <c r="P28" s="2" t="inlineStr">
        <is>
          <t>2026-03</t>
        </is>
      </c>
      <c r="Q28" s="2" t="inlineStr">
        <is>
          <t>March2026_da89.pdf</t>
        </is>
      </c>
      <c r="R28" s="2" t="inlineStr"/>
      <c r="S28" s="2" t="inlineStr"/>
      <c r="T28" s="2" t="inlineStr"/>
      <c r="U28" s="2" t="inlineStr"/>
    </row>
    <row r="29">
      <c r="A29" s="2" t="inlineStr">
        <is>
          <t>20260303-0019</t>
        </is>
      </c>
      <c r="B29" s="8" t="n">
        <v>46084</v>
      </c>
      <c r="C29" s="8" t="n"/>
      <c r="D29" s="2" t="inlineStr">
        <is>
          <t>Prime Visa (Chase) ****6217</t>
        </is>
      </c>
      <c r="E29" s="2" t="inlineStr">
        <is>
          <t>구매</t>
        </is>
      </c>
      <c r="F29" s="2" t="inlineStr">
        <is>
          <t>AMAZON MKTPL*B99426SF0 Amzn.com/bill WA</t>
        </is>
      </c>
      <c r="G29" s="2" t="inlineStr">
        <is>
          <t>Amazon</t>
        </is>
      </c>
      <c r="H29" s="2" t="inlineStr">
        <is>
          <t>온라인쇼핑</t>
        </is>
      </c>
      <c r="I29" s="2" t="inlineStr">
        <is>
          <t>Amazon</t>
        </is>
      </c>
      <c r="J29" s="2" t="inlineStr">
        <is>
          <t>Amazon</t>
        </is>
      </c>
      <c r="K29" s="4" t="n">
        <v>37.6</v>
      </c>
      <c r="L29" s="4">
        <f>IF($E29="구매",$K29,0)</f>
        <v/>
      </c>
      <c r="M29" s="4">
        <f>IF($E29="환불/크레딧",$K29,0)</f>
        <v/>
      </c>
      <c r="N29" s="4">
        <f>IF($E29="결제",$K29,0)</f>
        <v/>
      </c>
      <c r="O29" s="4">
        <f>$K29</f>
        <v/>
      </c>
      <c r="P29" s="2" t="inlineStr">
        <is>
          <t>2026-03</t>
        </is>
      </c>
      <c r="Q29" s="2" t="inlineStr">
        <is>
          <t>36C0F7B9-D67A-4AE6-9684-B5F848CBA9D5-list_4699.pdf</t>
        </is>
      </c>
      <c r="R29" s="2" t="inlineStr"/>
      <c r="S29" s="2" t="inlineStr"/>
      <c r="T29" s="2" t="inlineStr"/>
      <c r="U29" s="2" t="inlineStr"/>
    </row>
    <row r="30">
      <c r="A30" s="2" t="inlineStr">
        <is>
          <t>20260316-0020</t>
        </is>
      </c>
      <c r="B30" s="8" t="n">
        <v>46097</v>
      </c>
      <c r="C30" s="8" t="n"/>
      <c r="D30" s="2" t="inlineStr">
        <is>
          <t>Costco Anywhere Visa (Citi) ****6858</t>
        </is>
      </c>
      <c r="E30" s="2" t="inlineStr">
        <is>
          <t>결제</t>
        </is>
      </c>
      <c r="F30" s="2" t="inlineStr">
        <is>
          <t>ONLINE PAYMENT, THANK YOU</t>
        </is>
      </c>
      <c r="G30" s="2" t="inlineStr">
        <is>
          <t>Card Payment</t>
        </is>
      </c>
      <c r="H30" s="2" t="inlineStr">
        <is>
          <t>결제/이체</t>
        </is>
      </c>
      <c r="I30" s="2" t="inlineStr">
        <is>
          <t>카드대금 결제</t>
        </is>
      </c>
      <c r="J30" s="2" t="inlineStr">
        <is>
          <t>카드결제</t>
        </is>
      </c>
      <c r="K30" s="4" t="n">
        <v>-174.07</v>
      </c>
      <c r="L30" s="4">
        <f>IF($E30="구매",$K30,0)</f>
        <v/>
      </c>
      <c r="M30" s="4">
        <f>IF($E30="환불/크레딧",$K30,0)</f>
        <v/>
      </c>
      <c r="N30" s="4">
        <f>IF($E30="결제",$K30,0)</f>
        <v/>
      </c>
      <c r="O30" s="4">
        <f>$K30</f>
        <v/>
      </c>
      <c r="P30" s="2" t="inlineStr">
        <is>
          <t>2026-04</t>
        </is>
      </c>
      <c r="Q30" s="2" t="inlineStr">
        <is>
          <t>April2026_4952.pdf</t>
        </is>
      </c>
      <c r="R30" s="2" t="inlineStr"/>
      <c r="S30" s="2" t="inlineStr"/>
      <c r="T30" s="2" t="inlineStr"/>
      <c r="U30" s="2" t="inlineStr"/>
    </row>
    <row r="31">
      <c r="A31" s="2" t="inlineStr">
        <is>
          <t>20260317-0021</t>
        </is>
      </c>
      <c r="B31" s="8" t="n">
        <v>46098</v>
      </c>
      <c r="C31" s="8" t="n">
        <v>46098</v>
      </c>
      <c r="D31" s="2" t="inlineStr">
        <is>
          <t>Costco Anywhere Visa (Citi) ****6858</t>
        </is>
      </c>
      <c r="E31" s="2" t="inlineStr">
        <is>
          <t>구매</t>
        </is>
      </c>
      <c r="F31" s="2" t="inlineStr">
        <is>
          <t>COSTCO GAS #0484 OREM UT</t>
        </is>
      </c>
      <c r="G31" s="2" t="inlineStr">
        <is>
          <t>Costco Gas</t>
        </is>
      </c>
      <c r="H31" s="2" t="inlineStr">
        <is>
          <t>교통/주유</t>
        </is>
      </c>
      <c r="I31" s="2" t="inlineStr">
        <is>
          <t>주유</t>
        </is>
      </c>
      <c r="J31" s="2" t="inlineStr">
        <is>
          <t>Costco Gas</t>
        </is>
      </c>
      <c r="K31" s="4" t="n">
        <v>44.1</v>
      </c>
      <c r="L31" s="4">
        <f>IF($E31="구매",$K31,0)</f>
        <v/>
      </c>
      <c r="M31" s="4">
        <f>IF($E31="환불/크레딧",$K31,0)</f>
        <v/>
      </c>
      <c r="N31" s="4">
        <f>IF($E31="결제",$K31,0)</f>
        <v/>
      </c>
      <c r="O31" s="4">
        <f>$K31</f>
        <v/>
      </c>
      <c r="P31" s="2" t="inlineStr">
        <is>
          <t>2026-04</t>
        </is>
      </c>
      <c r="Q31" s="2" t="inlineStr">
        <is>
          <t>April2026_4952.pdf</t>
        </is>
      </c>
      <c r="R31" s="2" t="inlineStr"/>
      <c r="S31" s="2" t="inlineStr"/>
      <c r="T31" s="2" t="inlineStr"/>
      <c r="U31" s="2" t="inlineStr"/>
    </row>
    <row r="32">
      <c r="A32" s="2" t="inlineStr">
        <is>
          <t>20260317-0022</t>
        </is>
      </c>
      <c r="B32" s="8" t="n">
        <v>46098</v>
      </c>
      <c r="C32" s="8" t="n">
        <v>46098</v>
      </c>
      <c r="D32" s="2" t="inlineStr">
        <is>
          <t>Costco Anywhere Visa (Citi) ****6858</t>
        </is>
      </c>
      <c r="E32" s="2" t="inlineStr">
        <is>
          <t>구매</t>
        </is>
      </c>
      <c r="F32" s="2" t="inlineStr">
        <is>
          <t>COSTCO WHSE #0484 OREM UT</t>
        </is>
      </c>
      <c r="G32" s="2" t="inlineStr">
        <is>
          <t>Costco Warehouse</t>
        </is>
      </c>
      <c r="H32" s="2" t="inlineStr">
        <is>
          <t>식료품/생활용품</t>
        </is>
      </c>
      <c r="I32" s="2" t="inlineStr">
        <is>
          <t>Costco 매장</t>
        </is>
      </c>
      <c r="J32" s="2" t="inlineStr">
        <is>
          <t>Costco 매장</t>
        </is>
      </c>
      <c r="K32" s="4" t="n">
        <v>108.48</v>
      </c>
      <c r="L32" s="4">
        <f>IF($E32="구매",$K32,0)</f>
        <v/>
      </c>
      <c r="M32" s="4">
        <f>IF($E32="환불/크레딧",$K32,0)</f>
        <v/>
      </c>
      <c r="N32" s="4">
        <f>IF($E32="결제",$K32,0)</f>
        <v/>
      </c>
      <c r="O32" s="4">
        <f>$K32</f>
        <v/>
      </c>
      <c r="P32" s="2" t="inlineStr">
        <is>
          <t>2026-04</t>
        </is>
      </c>
      <c r="Q32" s="2" t="inlineStr">
        <is>
          <t>April2026_4952.pdf</t>
        </is>
      </c>
      <c r="R32" s="2" t="inlineStr"/>
      <c r="S32" s="2" t="inlineStr"/>
      <c r="T32" s="2" t="inlineStr"/>
      <c r="U32" s="2" t="inlineStr"/>
    </row>
    <row r="33">
      <c r="A33" s="2" t="inlineStr">
        <is>
          <t>20260325-0023</t>
        </is>
      </c>
      <c r="B33" s="8" t="n">
        <v>46106</v>
      </c>
      <c r="C33" s="8" t="n"/>
      <c r="D33" s="2" t="inlineStr">
        <is>
          <t>Costco Anywhere Visa (Citi) ****6858</t>
        </is>
      </c>
      <c r="E33" s="2" t="inlineStr">
        <is>
          <t>결제</t>
        </is>
      </c>
      <c r="F33" s="2" t="inlineStr">
        <is>
          <t>ONLINE PAYMENT, THANK YOU</t>
        </is>
      </c>
      <c r="G33" s="2" t="inlineStr">
        <is>
          <t>Card Payment</t>
        </is>
      </c>
      <c r="H33" s="2" t="inlineStr">
        <is>
          <t>결제/이체</t>
        </is>
      </c>
      <c r="I33" s="2" t="inlineStr">
        <is>
          <t>카드대금 결제</t>
        </is>
      </c>
      <c r="J33" s="2" t="inlineStr">
        <is>
          <t>카드결제</t>
        </is>
      </c>
      <c r="K33" s="4" t="n">
        <v>-152.58</v>
      </c>
      <c r="L33" s="4">
        <f>IF($E33="구매",$K33,0)</f>
        <v/>
      </c>
      <c r="M33" s="4">
        <f>IF($E33="환불/크레딧",$K33,0)</f>
        <v/>
      </c>
      <c r="N33" s="4">
        <f>IF($E33="결제",$K33,0)</f>
        <v/>
      </c>
      <c r="O33" s="4">
        <f>$K33</f>
        <v/>
      </c>
      <c r="P33" s="2" t="inlineStr">
        <is>
          <t>2026-04</t>
        </is>
      </c>
      <c r="Q33" s="2" t="inlineStr">
        <is>
          <t>April2026_4952.pdf</t>
        </is>
      </c>
      <c r="R33" s="2" t="inlineStr"/>
      <c r="S33" s="2" t="inlineStr"/>
      <c r="T33" s="2" t="inlineStr"/>
      <c r="U33" s="2" t="inlineStr"/>
    </row>
    <row r="34">
      <c r="A34" s="2" t="inlineStr">
        <is>
          <t>20260330-0024</t>
        </is>
      </c>
      <c r="B34" s="8" t="n">
        <v>46111</v>
      </c>
      <c r="C34" s="8" t="n">
        <v>46111</v>
      </c>
      <c r="D34" s="2" t="inlineStr">
        <is>
          <t>Costco Anywhere Visa (Citi) ****6858</t>
        </is>
      </c>
      <c r="E34" s="2" t="inlineStr">
        <is>
          <t>구매</t>
        </is>
      </c>
      <c r="F34" s="2" t="inlineStr">
        <is>
          <t>COSTCO WHSE #0484 OREM UT</t>
        </is>
      </c>
      <c r="G34" s="2" t="inlineStr">
        <is>
          <t>Costco Warehouse</t>
        </is>
      </c>
      <c r="H34" s="2" t="inlineStr">
        <is>
          <t>식료품/생활용품</t>
        </is>
      </c>
      <c r="I34" s="2" t="inlineStr">
        <is>
          <t>Costco 매장</t>
        </is>
      </c>
      <c r="J34" s="2" t="inlineStr">
        <is>
          <t>Costco 매장</t>
        </is>
      </c>
      <c r="K34" s="4" t="n">
        <v>111.46</v>
      </c>
      <c r="L34" s="4">
        <f>IF($E34="구매",$K34,0)</f>
        <v/>
      </c>
      <c r="M34" s="4">
        <f>IF($E34="환불/크레딧",$K34,0)</f>
        <v/>
      </c>
      <c r="N34" s="4">
        <f>IF($E34="결제",$K34,0)</f>
        <v/>
      </c>
      <c r="O34" s="4">
        <f>$K34</f>
        <v/>
      </c>
      <c r="P34" s="2" t="inlineStr">
        <is>
          <t>2026-04</t>
        </is>
      </c>
      <c r="Q34" s="2" t="inlineStr">
        <is>
          <t>April2026_4952.pdf</t>
        </is>
      </c>
      <c r="R34" s="2" t="inlineStr"/>
      <c r="S34" s="2" t="inlineStr"/>
      <c r="T34" s="2" t="inlineStr"/>
      <c r="U34" s="2" t="inlineStr"/>
    </row>
    <row r="35">
      <c r="A35" s="2" t="inlineStr">
        <is>
          <t>20260403-0025</t>
        </is>
      </c>
      <c r="B35" s="8" t="n">
        <v>46115</v>
      </c>
      <c r="C35" s="8" t="n">
        <v>46115</v>
      </c>
      <c r="D35" s="2" t="inlineStr">
        <is>
          <t>Costco Anywhere Visa (Citi) ****6858</t>
        </is>
      </c>
      <c r="E35" s="2" t="inlineStr">
        <is>
          <t>구매</t>
        </is>
      </c>
      <c r="F35" s="2" t="inlineStr">
        <is>
          <t>COSTCO GAS #0484 OREM UT</t>
        </is>
      </c>
      <c r="G35" s="2" t="inlineStr">
        <is>
          <t>Costco Gas</t>
        </is>
      </c>
      <c r="H35" s="2" t="inlineStr">
        <is>
          <t>교통/주유</t>
        </is>
      </c>
      <c r="I35" s="2" t="inlineStr">
        <is>
          <t>주유</t>
        </is>
      </c>
      <c r="J35" s="2" t="inlineStr">
        <is>
          <t>Costco Gas</t>
        </is>
      </c>
      <c r="K35" s="4" t="n">
        <v>41.47</v>
      </c>
      <c r="L35" s="4">
        <f>IF($E35="구매",$K35,0)</f>
        <v/>
      </c>
      <c r="M35" s="4">
        <f>IF($E35="환불/크레딧",$K35,0)</f>
        <v/>
      </c>
      <c r="N35" s="4">
        <f>IF($E35="결제",$K35,0)</f>
        <v/>
      </c>
      <c r="O35" s="4">
        <f>$K35</f>
        <v/>
      </c>
      <c r="P35" s="2" t="inlineStr">
        <is>
          <t>2026-04</t>
        </is>
      </c>
      <c r="Q35" s="2" t="inlineStr">
        <is>
          <t>April2026_4952.pdf</t>
        </is>
      </c>
      <c r="R35" s="2" t="inlineStr"/>
      <c r="S35" s="2" t="inlineStr"/>
      <c r="T35" s="2" t="inlineStr"/>
      <c r="U35" s="2" t="inlineStr"/>
    </row>
    <row r="36">
      <c r="A36" s="2" t="inlineStr">
        <is>
          <t>20260403-0026</t>
        </is>
      </c>
      <c r="B36" s="8" t="n">
        <v>46115</v>
      </c>
      <c r="C36" s="8" t="n">
        <v>46115</v>
      </c>
      <c r="D36" s="2" t="inlineStr">
        <is>
          <t>Costco Anywhere Visa (Citi) ****6858</t>
        </is>
      </c>
      <c r="E36" s="2" t="inlineStr">
        <is>
          <t>구매</t>
        </is>
      </c>
      <c r="F36" s="2" t="inlineStr">
        <is>
          <t>COSTCO WHSE #0484 OREM UT</t>
        </is>
      </c>
      <c r="G36" s="2" t="inlineStr">
        <is>
          <t>Costco Warehouse</t>
        </is>
      </c>
      <c r="H36" s="2" t="inlineStr">
        <is>
          <t>식료품/생활용품</t>
        </is>
      </c>
      <c r="I36" s="2" t="inlineStr">
        <is>
          <t>Costco 매장</t>
        </is>
      </c>
      <c r="J36" s="2" t="inlineStr">
        <is>
          <t>Costco 매장</t>
        </is>
      </c>
      <c r="K36" s="4" t="n">
        <v>33.81</v>
      </c>
      <c r="L36" s="4">
        <f>IF($E36="구매",$K36,0)</f>
        <v/>
      </c>
      <c r="M36" s="4">
        <f>IF($E36="환불/크레딧",$K36,0)</f>
        <v/>
      </c>
      <c r="N36" s="4">
        <f>IF($E36="결제",$K36,0)</f>
        <v/>
      </c>
      <c r="O36" s="4">
        <f>$K36</f>
        <v/>
      </c>
      <c r="P36" s="2" t="inlineStr">
        <is>
          <t>2026-04</t>
        </is>
      </c>
      <c r="Q36" s="2" t="inlineStr">
        <is>
          <t>April2026_4952.pdf</t>
        </is>
      </c>
      <c r="R36" s="2" t="inlineStr"/>
      <c r="S36" s="2" t="inlineStr"/>
      <c r="T36" s="2" t="inlineStr"/>
      <c r="U36" s="2" t="inlineStr"/>
    </row>
    <row r="37">
      <c r="A37" s="2" t="inlineStr">
        <is>
          <t>20260403-0027</t>
        </is>
      </c>
      <c r="B37" s="8" t="n">
        <v>46115</v>
      </c>
      <c r="C37" s="8" t="n"/>
      <c r="D37" s="2" t="inlineStr">
        <is>
          <t>Costco Anywhere Visa (Citi) ****6858</t>
        </is>
      </c>
      <c r="E37" s="2" t="inlineStr">
        <is>
          <t>결제</t>
        </is>
      </c>
      <c r="F37" s="2" t="inlineStr">
        <is>
          <t>ONLINE PAYMENT, THANK YOU</t>
        </is>
      </c>
      <c r="G37" s="2" t="inlineStr">
        <is>
          <t>Card Payment</t>
        </is>
      </c>
      <c r="H37" s="2" t="inlineStr">
        <is>
          <t>결제/이체</t>
        </is>
      </c>
      <c r="I37" s="2" t="inlineStr">
        <is>
          <t>카드대금 결제</t>
        </is>
      </c>
      <c r="J37" s="2" t="inlineStr">
        <is>
          <t>카드결제</t>
        </is>
      </c>
      <c r="K37" s="4" t="n">
        <v>-111.46</v>
      </c>
      <c r="L37" s="4">
        <f>IF($E37="구매",$K37,0)</f>
        <v/>
      </c>
      <c r="M37" s="4">
        <f>IF($E37="환불/크레딧",$K37,0)</f>
        <v/>
      </c>
      <c r="N37" s="4">
        <f>IF($E37="결제",$K37,0)</f>
        <v/>
      </c>
      <c r="O37" s="4">
        <f>$K37</f>
        <v/>
      </c>
      <c r="P37" s="2" t="inlineStr">
        <is>
          <t>2026-04</t>
        </is>
      </c>
      <c r="Q37" s="2" t="inlineStr">
        <is>
          <t>April2026_4952.pdf</t>
        </is>
      </c>
      <c r="R37" s="2" t="inlineStr"/>
      <c r="S37" s="2" t="inlineStr"/>
      <c r="T37" s="2" t="inlineStr"/>
      <c r="U37" s="2" t="inlineStr"/>
    </row>
    <row r="38">
      <c r="A38" s="2" t="inlineStr">
        <is>
          <t>20260403-0028</t>
        </is>
      </c>
      <c r="B38" s="8" t="n">
        <v>46115</v>
      </c>
      <c r="C38" s="8" t="n"/>
      <c r="D38" s="2" t="inlineStr">
        <is>
          <t>Prime Visa (Chase) ****6217</t>
        </is>
      </c>
      <c r="E38" s="2" t="inlineStr">
        <is>
          <t>구매</t>
        </is>
      </c>
      <c r="F38" s="2" t="inlineStr">
        <is>
          <t>AMAZON MKTPL*B71L99J32 Amzn.com/bill WA</t>
        </is>
      </c>
      <c r="G38" s="2" t="inlineStr">
        <is>
          <t>Amazon</t>
        </is>
      </c>
      <c r="H38" s="2" t="inlineStr">
        <is>
          <t>온라인쇼핑</t>
        </is>
      </c>
      <c r="I38" s="2" t="inlineStr">
        <is>
          <t>Amazon</t>
        </is>
      </c>
      <c r="J38" s="2" t="inlineStr">
        <is>
          <t>Amazon</t>
        </is>
      </c>
      <c r="K38" s="4" t="n">
        <v>10.73</v>
      </c>
      <c r="L38" s="4">
        <f>IF($E38="구매",$K38,0)</f>
        <v/>
      </c>
      <c r="M38" s="4">
        <f>IF($E38="환불/크레딧",$K38,0)</f>
        <v/>
      </c>
      <c r="N38" s="4">
        <f>IF($E38="결제",$K38,0)</f>
        <v/>
      </c>
      <c r="O38" s="4">
        <f>$K38</f>
        <v/>
      </c>
      <c r="P38" s="2" t="inlineStr">
        <is>
          <t>2026-04</t>
        </is>
      </c>
      <c r="Q38" s="2" t="inlineStr">
        <is>
          <t>BE3F4263-FAF2-4A9C-87A5-53852C30604D-list_09af.pdf</t>
        </is>
      </c>
      <c r="R38" s="2" t="inlineStr"/>
      <c r="S38" s="2" t="inlineStr"/>
      <c r="T38" s="2" t="inlineStr"/>
      <c r="U38" s="2" t="inlineStr"/>
    </row>
    <row r="39">
      <c r="A39" s="2" t="inlineStr">
        <is>
          <t>20260403-0029</t>
        </is>
      </c>
      <c r="B39" s="8" t="n">
        <v>46115</v>
      </c>
      <c r="C39" s="8" t="n"/>
      <c r="D39" s="2" t="inlineStr">
        <is>
          <t>Prime Visa (Chase) ****6217</t>
        </is>
      </c>
      <c r="E39" s="2" t="inlineStr">
        <is>
          <t>구매</t>
        </is>
      </c>
      <c r="F39" s="2" t="inlineStr">
        <is>
          <t>Amazon.com*BG2082560 Amzn.com/bill WA</t>
        </is>
      </c>
      <c r="G39" s="2" t="inlineStr">
        <is>
          <t>Amazon</t>
        </is>
      </c>
      <c r="H39" s="2" t="inlineStr">
        <is>
          <t>온라인쇼핑</t>
        </is>
      </c>
      <c r="I39" s="2" t="inlineStr">
        <is>
          <t>Amazon</t>
        </is>
      </c>
      <c r="J39" s="2" t="inlineStr">
        <is>
          <t>Amazon</t>
        </is>
      </c>
      <c r="K39" s="4" t="n">
        <v>5.63</v>
      </c>
      <c r="L39" s="4">
        <f>IF($E39="구매",$K39,0)</f>
        <v/>
      </c>
      <c r="M39" s="4">
        <f>IF($E39="환불/크레딧",$K39,0)</f>
        <v/>
      </c>
      <c r="N39" s="4">
        <f>IF($E39="결제",$K39,0)</f>
        <v/>
      </c>
      <c r="O39" s="4">
        <f>$K39</f>
        <v/>
      </c>
      <c r="P39" s="2" t="inlineStr">
        <is>
          <t>2026-04</t>
        </is>
      </c>
      <c r="Q39" s="2" t="inlineStr">
        <is>
          <t>BE3F4263-FAF2-4A9C-87A5-53852C30604D-list_09af.pdf</t>
        </is>
      </c>
      <c r="R39" s="2" t="inlineStr"/>
      <c r="S39" s="2" t="inlineStr"/>
      <c r="T39" s="2" t="inlineStr"/>
      <c r="U39" s="2" t="inlineStr"/>
    </row>
    <row r="40">
      <c r="A40" s="2" t="inlineStr">
        <is>
          <t>20260406-0030</t>
        </is>
      </c>
      <c r="B40" s="8" t="n">
        <v>46118</v>
      </c>
      <c r="C40" s="8" t="n"/>
      <c r="D40" s="2" t="inlineStr">
        <is>
          <t>Prime Visa (Chase) ****6217</t>
        </is>
      </c>
      <c r="E40" s="2" t="inlineStr">
        <is>
          <t>구매</t>
        </is>
      </c>
      <c r="F40" s="2" t="inlineStr">
        <is>
          <t>AMAZON MKTPL*BC0SR41L1 Amzn.com/bill WA</t>
        </is>
      </c>
      <c r="G40" s="2" t="inlineStr">
        <is>
          <t>Amazon</t>
        </is>
      </c>
      <c r="H40" s="2" t="inlineStr">
        <is>
          <t>온라인쇼핑</t>
        </is>
      </c>
      <c r="I40" s="2" t="inlineStr">
        <is>
          <t>Amazon</t>
        </is>
      </c>
      <c r="J40" s="2" t="inlineStr">
        <is>
          <t>Amazon</t>
        </is>
      </c>
      <c r="K40" s="4" t="n">
        <v>16.98</v>
      </c>
      <c r="L40" s="4">
        <f>IF($E40="구매",$K40,0)</f>
        <v/>
      </c>
      <c r="M40" s="4">
        <f>IF($E40="환불/크레딧",$K40,0)</f>
        <v/>
      </c>
      <c r="N40" s="4">
        <f>IF($E40="결제",$K40,0)</f>
        <v/>
      </c>
      <c r="O40" s="4">
        <f>$K40</f>
        <v/>
      </c>
      <c r="P40" s="2" t="inlineStr">
        <is>
          <t>2026-04</t>
        </is>
      </c>
      <c r="Q40" s="2" t="inlineStr">
        <is>
          <t>BE3F4263-FAF2-4A9C-87A5-53852C30604D-list_09af.pdf</t>
        </is>
      </c>
      <c r="R40" s="2" t="inlineStr"/>
      <c r="S40" s="2" t="inlineStr"/>
      <c r="T40" s="2" t="inlineStr"/>
      <c r="U40" s="2" t="inlineStr"/>
    </row>
    <row r="41">
      <c r="A41" s="2" t="inlineStr">
        <is>
          <t>20260407-0031</t>
        </is>
      </c>
      <c r="B41" s="8" t="n">
        <v>46119</v>
      </c>
      <c r="C41" s="8" t="n">
        <v>46119</v>
      </c>
      <c r="D41" s="2" t="inlineStr">
        <is>
          <t>Costco Anywhere Visa (Citi) ****6858</t>
        </is>
      </c>
      <c r="E41" s="2" t="inlineStr">
        <is>
          <t>구매</t>
        </is>
      </c>
      <c r="F41" s="2" t="inlineStr">
        <is>
          <t>WWW COSTCO COM 800-955-2292 WA</t>
        </is>
      </c>
      <c r="G41" s="2" t="inlineStr">
        <is>
          <t>Costco Online</t>
        </is>
      </c>
      <c r="H41" s="2" t="inlineStr">
        <is>
          <t>온라인쇼핑</t>
        </is>
      </c>
      <c r="I41" s="2" t="inlineStr">
        <is>
          <t>Costco 온라인</t>
        </is>
      </c>
      <c r="J41" s="2" t="inlineStr">
        <is>
          <t>Costco 온라인</t>
        </is>
      </c>
      <c r="K41" s="4" t="n">
        <v>42.97</v>
      </c>
      <c r="L41" s="4">
        <f>IF($E41="구매",$K41,0)</f>
        <v/>
      </c>
      <c r="M41" s="4">
        <f>IF($E41="환불/크레딧",$K41,0)</f>
        <v/>
      </c>
      <c r="N41" s="4">
        <f>IF($E41="결제",$K41,0)</f>
        <v/>
      </c>
      <c r="O41" s="4">
        <f>$K41</f>
        <v/>
      </c>
      <c r="P41" s="2" t="inlineStr">
        <is>
          <t>2026-05</t>
        </is>
      </c>
      <c r="Q41" s="2" t="inlineStr">
        <is>
          <t>May2026_2c5d.pdf</t>
        </is>
      </c>
      <c r="R41" s="2" t="inlineStr"/>
      <c r="S41" s="2" t="inlineStr"/>
      <c r="T41" s="2" t="inlineStr"/>
      <c r="U41" s="2" t="inlineStr"/>
    </row>
    <row r="42">
      <c r="A42" s="2" t="inlineStr">
        <is>
          <t>20260407-0032</t>
        </is>
      </c>
      <c r="B42" s="8" t="n">
        <v>46119</v>
      </c>
      <c r="C42" s="8" t="n"/>
      <c r="D42" s="2" t="inlineStr">
        <is>
          <t>Prime Visa (Chase) ****6217</t>
        </is>
      </c>
      <c r="E42" s="2" t="inlineStr">
        <is>
          <t>구매</t>
        </is>
      </c>
      <c r="F42" s="2" t="inlineStr">
        <is>
          <t>AMAZON MKTPL*BC3EP1N30 Amzn.com/bill WA</t>
        </is>
      </c>
      <c r="G42" s="2" t="inlineStr">
        <is>
          <t>Amazon</t>
        </is>
      </c>
      <c r="H42" s="2" t="inlineStr">
        <is>
          <t>온라인쇼핑</t>
        </is>
      </c>
      <c r="I42" s="2" t="inlineStr">
        <is>
          <t>Amazon</t>
        </is>
      </c>
      <c r="J42" s="2" t="inlineStr">
        <is>
          <t>Amazon</t>
        </is>
      </c>
      <c r="K42" s="4" t="n">
        <v>11.13</v>
      </c>
      <c r="L42" s="4">
        <f>IF($E42="구매",$K42,0)</f>
        <v/>
      </c>
      <c r="M42" s="4">
        <f>IF($E42="환불/크레딧",$K42,0)</f>
        <v/>
      </c>
      <c r="N42" s="4">
        <f>IF($E42="결제",$K42,0)</f>
        <v/>
      </c>
      <c r="O42" s="4">
        <f>$K42</f>
        <v/>
      </c>
      <c r="P42" s="2" t="inlineStr">
        <is>
          <t>2026-04</t>
        </is>
      </c>
      <c r="Q42" s="2" t="inlineStr">
        <is>
          <t>BE3F4263-FAF2-4A9C-87A5-53852C30604D-list_09af.pdf</t>
        </is>
      </c>
      <c r="R42" s="2" t="inlineStr"/>
      <c r="S42" s="2" t="inlineStr"/>
      <c r="T42" s="2" t="inlineStr"/>
      <c r="U42" s="2" t="inlineStr"/>
    </row>
    <row r="43">
      <c r="A43" s="2" t="inlineStr">
        <is>
          <t>20260407-0033</t>
        </is>
      </c>
      <c r="B43" s="8" t="n">
        <v>46119</v>
      </c>
      <c r="C43" s="8" t="n"/>
      <c r="D43" s="2" t="inlineStr">
        <is>
          <t>Prime Visa (Chase) ****6217</t>
        </is>
      </c>
      <c r="E43" s="2" t="inlineStr">
        <is>
          <t>구매</t>
        </is>
      </c>
      <c r="F43" s="2" t="inlineStr">
        <is>
          <t>Amazon.com*BC0EP2NY0 Amzn.com/bill WA</t>
        </is>
      </c>
      <c r="G43" s="2" t="inlineStr">
        <is>
          <t>Amazon</t>
        </is>
      </c>
      <c r="H43" s="2" t="inlineStr">
        <is>
          <t>온라인쇼핑</t>
        </is>
      </c>
      <c r="I43" s="2" t="inlineStr">
        <is>
          <t>Amazon</t>
        </is>
      </c>
      <c r="J43" s="2" t="inlineStr">
        <is>
          <t>Amazon</t>
        </is>
      </c>
      <c r="K43" s="4" t="n">
        <v>13.2</v>
      </c>
      <c r="L43" s="4">
        <f>IF($E43="구매",$K43,0)</f>
        <v/>
      </c>
      <c r="M43" s="4">
        <f>IF($E43="환불/크레딧",$K43,0)</f>
        <v/>
      </c>
      <c r="N43" s="4">
        <f>IF($E43="결제",$K43,0)</f>
        <v/>
      </c>
      <c r="O43" s="4">
        <f>$K43</f>
        <v/>
      </c>
      <c r="P43" s="2" t="inlineStr">
        <is>
          <t>2026-04</t>
        </is>
      </c>
      <c r="Q43" s="2" t="inlineStr">
        <is>
          <t>BE3F4263-FAF2-4A9C-87A5-53852C30604D-list_09af.pdf</t>
        </is>
      </c>
      <c r="R43" s="2" t="inlineStr"/>
      <c r="S43" s="2" t="inlineStr"/>
      <c r="T43" s="2" t="inlineStr"/>
      <c r="U43" s="2" t="inlineStr"/>
    </row>
    <row r="44">
      <c r="A44" s="2" t="inlineStr">
        <is>
          <t>20260408-0034</t>
        </is>
      </c>
      <c r="B44" s="8" t="n">
        <v>46120</v>
      </c>
      <c r="C44" s="8" t="n"/>
      <c r="D44" s="2" t="inlineStr">
        <is>
          <t>Prime Visa (Chase) ****6217</t>
        </is>
      </c>
      <c r="E44" s="2" t="inlineStr">
        <is>
          <t>구매</t>
        </is>
      </c>
      <c r="F44" s="2" t="inlineStr">
        <is>
          <t>AMAZON MKTPL*BC4YY4QQ1 Amzn.com/bill WA</t>
        </is>
      </c>
      <c r="G44" s="2" t="inlineStr">
        <is>
          <t>Amazon</t>
        </is>
      </c>
      <c r="H44" s="2" t="inlineStr">
        <is>
          <t>온라인쇼핑</t>
        </is>
      </c>
      <c r="I44" s="2" t="inlineStr">
        <is>
          <t>Amazon</t>
        </is>
      </c>
      <c r="J44" s="2" t="inlineStr">
        <is>
          <t>Amazon</t>
        </is>
      </c>
      <c r="K44" s="4" t="n">
        <v>10.73</v>
      </c>
      <c r="L44" s="4">
        <f>IF($E44="구매",$K44,0)</f>
        <v/>
      </c>
      <c r="M44" s="4">
        <f>IF($E44="환불/크레딧",$K44,0)</f>
        <v/>
      </c>
      <c r="N44" s="4">
        <f>IF($E44="결제",$K44,0)</f>
        <v/>
      </c>
      <c r="O44" s="4">
        <f>$K44</f>
        <v/>
      </c>
      <c r="P44" s="2" t="inlineStr">
        <is>
          <t>2026-04</t>
        </is>
      </c>
      <c r="Q44" s="2" t="inlineStr">
        <is>
          <t>BE3F4263-FAF2-4A9C-87A5-53852C30604D-list_09af.pdf</t>
        </is>
      </c>
      <c r="R44" s="2" t="inlineStr"/>
      <c r="S44" s="2" t="inlineStr"/>
      <c r="T44" s="2" t="inlineStr"/>
      <c r="U44" s="2" t="inlineStr"/>
    </row>
    <row r="45">
      <c r="A45" s="2" t="inlineStr">
        <is>
          <t>20260411-0035</t>
        </is>
      </c>
      <c r="B45" s="8" t="n">
        <v>46123</v>
      </c>
      <c r="C45" s="8" t="n">
        <v>46123</v>
      </c>
      <c r="D45" s="2" t="inlineStr">
        <is>
          <t>Costco Anywhere Visa (Citi) ****6858</t>
        </is>
      </c>
      <c r="E45" s="2" t="inlineStr">
        <is>
          <t>구매</t>
        </is>
      </c>
      <c r="F45" s="2" t="inlineStr">
        <is>
          <t>COSTCO WHSE #0484 OREM UT</t>
        </is>
      </c>
      <c r="G45" s="2" t="inlineStr">
        <is>
          <t>Costco Warehouse</t>
        </is>
      </c>
      <c r="H45" s="2" t="inlineStr">
        <is>
          <t>식료품/생활용품</t>
        </is>
      </c>
      <c r="I45" s="2" t="inlineStr">
        <is>
          <t>Costco 매장</t>
        </is>
      </c>
      <c r="J45" s="2" t="inlineStr">
        <is>
          <t>Costco 매장</t>
        </is>
      </c>
      <c r="K45" s="4" t="n">
        <v>7.02</v>
      </c>
      <c r="L45" s="4">
        <f>IF($E45="구매",$K45,0)</f>
        <v/>
      </c>
      <c r="M45" s="4">
        <f>IF($E45="환불/크레딧",$K45,0)</f>
        <v/>
      </c>
      <c r="N45" s="4">
        <f>IF($E45="결제",$K45,0)</f>
        <v/>
      </c>
      <c r="O45" s="4">
        <f>$K45</f>
        <v/>
      </c>
      <c r="P45" s="2" t="inlineStr">
        <is>
          <t>2026-05</t>
        </is>
      </c>
      <c r="Q45" s="2" t="inlineStr">
        <is>
          <t>May2026_2c5d.pdf</t>
        </is>
      </c>
      <c r="R45" s="2" t="inlineStr"/>
      <c r="S45" s="2" t="inlineStr"/>
      <c r="T45" s="2" t="inlineStr"/>
      <c r="U45" s="2" t="inlineStr"/>
    </row>
    <row r="46">
      <c r="A46" s="2" t="inlineStr">
        <is>
          <t>20260411-0036</t>
        </is>
      </c>
      <c r="B46" s="8" t="n">
        <v>46123</v>
      </c>
      <c r="C46" s="8" t="n">
        <v>46123</v>
      </c>
      <c r="D46" s="2" t="inlineStr">
        <is>
          <t>Costco Anywhere Visa (Citi) ****6858</t>
        </is>
      </c>
      <c r="E46" s="2" t="inlineStr">
        <is>
          <t>구매</t>
        </is>
      </c>
      <c r="F46" s="2" t="inlineStr">
        <is>
          <t>COSTCO WHSE #0484 OREM UT</t>
        </is>
      </c>
      <c r="G46" s="2" t="inlineStr">
        <is>
          <t>Costco Warehouse</t>
        </is>
      </c>
      <c r="H46" s="2" t="inlineStr">
        <is>
          <t>식료품/생활용품</t>
        </is>
      </c>
      <c r="I46" s="2" t="inlineStr">
        <is>
          <t>Costco 매장</t>
        </is>
      </c>
      <c r="J46" s="2" t="inlineStr">
        <is>
          <t>Costco 매장</t>
        </is>
      </c>
      <c r="K46" s="4" t="n">
        <v>146.69</v>
      </c>
      <c r="L46" s="4">
        <f>IF($E46="구매",$K46,0)</f>
        <v/>
      </c>
      <c r="M46" s="4">
        <f>IF($E46="환불/크레딧",$K46,0)</f>
        <v/>
      </c>
      <c r="N46" s="4">
        <f>IF($E46="결제",$K46,0)</f>
        <v/>
      </c>
      <c r="O46" s="4">
        <f>$K46</f>
        <v/>
      </c>
      <c r="P46" s="2" t="inlineStr">
        <is>
          <t>2026-05</t>
        </is>
      </c>
      <c r="Q46" s="2" t="inlineStr">
        <is>
          <t>May2026_2c5d.pdf</t>
        </is>
      </c>
      <c r="R46" s="2" t="inlineStr"/>
      <c r="S46" s="2" t="inlineStr"/>
      <c r="T46" s="2" t="inlineStr"/>
      <c r="U46" s="2" t="inlineStr"/>
    </row>
    <row r="47">
      <c r="A47" s="2" t="inlineStr">
        <is>
          <t>20260411-0037</t>
        </is>
      </c>
      <c r="B47" s="8" t="n">
        <v>46123</v>
      </c>
      <c r="C47" s="8" t="n"/>
      <c r="D47" s="2" t="inlineStr">
        <is>
          <t>Prime Visa (Chase) ****6217</t>
        </is>
      </c>
      <c r="E47" s="2" t="inlineStr">
        <is>
          <t>구매</t>
        </is>
      </c>
      <c r="F47" s="2" t="inlineStr">
        <is>
          <t>AMAZON MKTPL*BY3SU8XS2 Amzn.com/bill WA</t>
        </is>
      </c>
      <c r="G47" s="2" t="inlineStr">
        <is>
          <t>Amazon</t>
        </is>
      </c>
      <c r="H47" s="2" t="inlineStr">
        <is>
          <t>온라인쇼핑</t>
        </is>
      </c>
      <c r="I47" s="2" t="inlineStr">
        <is>
          <t>Amazon</t>
        </is>
      </c>
      <c r="J47" s="2" t="inlineStr">
        <is>
          <t>Amazon</t>
        </is>
      </c>
      <c r="K47" s="4" t="n">
        <v>30.89</v>
      </c>
      <c r="L47" s="4">
        <f>IF($E47="구매",$K47,0)</f>
        <v/>
      </c>
      <c r="M47" s="4">
        <f>IF($E47="환불/크레딧",$K47,0)</f>
        <v/>
      </c>
      <c r="N47" s="4">
        <f>IF($E47="결제",$K47,0)</f>
        <v/>
      </c>
      <c r="O47" s="4">
        <f>$K47</f>
        <v/>
      </c>
      <c r="P47" s="2" t="inlineStr">
        <is>
          <t>2026-04</t>
        </is>
      </c>
      <c r="Q47" s="2" t="inlineStr">
        <is>
          <t>BE3F4263-FAF2-4A9C-87A5-53852C30604D-list_09af.pdf</t>
        </is>
      </c>
      <c r="R47" s="2" t="inlineStr"/>
      <c r="S47" s="2" t="inlineStr"/>
      <c r="T47" s="2" t="inlineStr"/>
      <c r="U47" s="2" t="inlineStr"/>
    </row>
    <row r="48">
      <c r="A48" s="2" t="inlineStr">
        <is>
          <t>20260413-0038</t>
        </is>
      </c>
      <c r="B48" s="8" t="n">
        <v>46125</v>
      </c>
      <c r="C48" s="8" t="n"/>
      <c r="D48" s="2" t="inlineStr">
        <is>
          <t>Prime Visa (Chase) ****6217</t>
        </is>
      </c>
      <c r="E48" s="2" t="inlineStr">
        <is>
          <t>구매</t>
        </is>
      </c>
      <c r="F48" s="2" t="inlineStr">
        <is>
          <t>AMAZON MKTPL*BY9KG8262 Amzn.com/bill WA</t>
        </is>
      </c>
      <c r="G48" s="2" t="inlineStr">
        <is>
          <t>Amazon</t>
        </is>
      </c>
      <c r="H48" s="2" t="inlineStr">
        <is>
          <t>온라인쇼핑</t>
        </is>
      </c>
      <c r="I48" s="2" t="inlineStr">
        <is>
          <t>Amazon</t>
        </is>
      </c>
      <c r="J48" s="2" t="inlineStr">
        <is>
          <t>Amazon</t>
        </is>
      </c>
      <c r="K48" s="4" t="n">
        <v>9.19</v>
      </c>
      <c r="L48" s="4">
        <f>IF($E48="구매",$K48,0)</f>
        <v/>
      </c>
      <c r="M48" s="4">
        <f>IF($E48="환불/크레딧",$K48,0)</f>
        <v/>
      </c>
      <c r="N48" s="4">
        <f>IF($E48="결제",$K48,0)</f>
        <v/>
      </c>
      <c r="O48" s="4">
        <f>$K48</f>
        <v/>
      </c>
      <c r="P48" s="2" t="inlineStr">
        <is>
          <t>2026-04</t>
        </is>
      </c>
      <c r="Q48" s="2" t="inlineStr">
        <is>
          <t>BE3F4263-FAF2-4A9C-87A5-53852C30604D-list_09af.pdf</t>
        </is>
      </c>
      <c r="R48" s="2" t="inlineStr"/>
      <c r="S48" s="2" t="inlineStr"/>
      <c r="T48" s="2" t="inlineStr"/>
      <c r="U48" s="2" t="inlineStr"/>
    </row>
    <row r="49">
      <c r="A49" s="2" t="inlineStr">
        <is>
          <t>20260414-0039</t>
        </is>
      </c>
      <c r="B49" s="8" t="n">
        <v>46126</v>
      </c>
      <c r="C49" s="8" t="n"/>
      <c r="D49" s="2" t="inlineStr">
        <is>
          <t>Prime Visa (Chase) ****6217</t>
        </is>
      </c>
      <c r="E49" s="2" t="inlineStr">
        <is>
          <t>구매</t>
        </is>
      </c>
      <c r="F49" s="2" t="inlineStr">
        <is>
          <t>Amazon.com*B74A77521 Amzn.com/bill WA</t>
        </is>
      </c>
      <c r="G49" s="2" t="inlineStr">
        <is>
          <t>Amazon</t>
        </is>
      </c>
      <c r="H49" s="2" t="inlineStr">
        <is>
          <t>온라인쇼핑</t>
        </is>
      </c>
      <c r="I49" s="2" t="inlineStr">
        <is>
          <t>Amazon</t>
        </is>
      </c>
      <c r="J49" s="2" t="inlineStr">
        <is>
          <t>Amazon</t>
        </is>
      </c>
      <c r="K49" s="4" t="n">
        <v>11.8</v>
      </c>
      <c r="L49" s="4">
        <f>IF($E49="구매",$K49,0)</f>
        <v/>
      </c>
      <c r="M49" s="4">
        <f>IF($E49="환불/크레딧",$K49,0)</f>
        <v/>
      </c>
      <c r="N49" s="4">
        <f>IF($E49="결제",$K49,0)</f>
        <v/>
      </c>
      <c r="O49" s="4">
        <f>$K49</f>
        <v/>
      </c>
      <c r="P49" s="2" t="inlineStr">
        <is>
          <t>2026-04</t>
        </is>
      </c>
      <c r="Q49" s="2" t="inlineStr">
        <is>
          <t>BE3F4263-FAF2-4A9C-87A5-53852C30604D-list_09af.pdf</t>
        </is>
      </c>
      <c r="R49" s="2" t="inlineStr"/>
      <c r="S49" s="2" t="inlineStr"/>
      <c r="T49" s="2" t="inlineStr"/>
      <c r="U49" s="2" t="inlineStr"/>
    </row>
    <row r="50">
      <c r="A50" s="2" t="inlineStr">
        <is>
          <t>20260416-0040</t>
        </is>
      </c>
      <c r="B50" s="8" t="n">
        <v>46128</v>
      </c>
      <c r="C50" s="8" t="n">
        <v>46128</v>
      </c>
      <c r="D50" s="2" t="inlineStr">
        <is>
          <t>Costco Anywhere Visa (Citi) ****6858</t>
        </is>
      </c>
      <c r="E50" s="2" t="inlineStr">
        <is>
          <t>구매</t>
        </is>
      </c>
      <c r="F50" s="2" t="inlineStr">
        <is>
          <t>COSTCO GAS #0484 OREM UT</t>
        </is>
      </c>
      <c r="G50" s="2" t="inlineStr">
        <is>
          <t>Costco Gas</t>
        </is>
      </c>
      <c r="H50" s="2" t="inlineStr">
        <is>
          <t>교통/주유</t>
        </is>
      </c>
      <c r="I50" s="2" t="inlineStr">
        <is>
          <t>주유</t>
        </is>
      </c>
      <c r="J50" s="2" t="inlineStr">
        <is>
          <t>Costco Gas</t>
        </is>
      </c>
      <c r="K50" s="4" t="n">
        <v>55.04</v>
      </c>
      <c r="L50" s="4">
        <f>IF($E50="구매",$K50,0)</f>
        <v/>
      </c>
      <c r="M50" s="4">
        <f>IF($E50="환불/크레딧",$K50,0)</f>
        <v/>
      </c>
      <c r="N50" s="4">
        <f>IF($E50="결제",$K50,0)</f>
        <v/>
      </c>
      <c r="O50" s="4">
        <f>$K50</f>
        <v/>
      </c>
      <c r="P50" s="2" t="inlineStr">
        <is>
          <t>2026-05</t>
        </is>
      </c>
      <c r="Q50" s="2" t="inlineStr">
        <is>
          <t>May2026_2c5d.pdf</t>
        </is>
      </c>
      <c r="R50" s="2" t="inlineStr"/>
      <c r="S50" s="2" t="inlineStr"/>
      <c r="T50" s="2" t="inlineStr"/>
      <c r="U50" s="2" t="inlineStr"/>
    </row>
    <row r="51">
      <c r="A51" s="2" t="inlineStr">
        <is>
          <t>20260417-0041</t>
        </is>
      </c>
      <c r="B51" s="8" t="n">
        <v>46129</v>
      </c>
      <c r="C51" s="8" t="n"/>
      <c r="D51" s="2" t="inlineStr">
        <is>
          <t>Prime Visa (Chase) ****6217</t>
        </is>
      </c>
      <c r="E51" s="2" t="inlineStr">
        <is>
          <t>환불/크레딧</t>
        </is>
      </c>
      <c r="F51" s="2" t="inlineStr">
        <is>
          <t>AMAZON MKTPLACE PMTS Amzn.com/bill WA</t>
        </is>
      </c>
      <c r="G51" s="2" t="inlineStr">
        <is>
          <t>Amazon</t>
        </is>
      </c>
      <c r="H51" s="2" t="inlineStr">
        <is>
          <t>환불/크레딧</t>
        </is>
      </c>
      <c r="I51" s="2" t="inlineStr">
        <is>
          <t>환불/반품</t>
        </is>
      </c>
      <c r="J51" s="2" t="inlineStr">
        <is>
          <t>Amazon 환불</t>
        </is>
      </c>
      <c r="K51" s="4" t="n">
        <v>-9.19</v>
      </c>
      <c r="L51" s="4">
        <f>IF($E51="구매",$K51,0)</f>
        <v/>
      </c>
      <c r="M51" s="4">
        <f>IF($E51="환불/크레딧",$K51,0)</f>
        <v/>
      </c>
      <c r="N51" s="4">
        <f>IF($E51="결제",$K51,0)</f>
        <v/>
      </c>
      <c r="O51" s="4">
        <f>$K51</f>
        <v/>
      </c>
      <c r="P51" s="2" t="inlineStr">
        <is>
          <t>2026-04</t>
        </is>
      </c>
      <c r="Q51" s="2" t="inlineStr">
        <is>
          <t>BE3F4263-FAF2-4A9C-87A5-53852C30604D-list_09af.pdf</t>
        </is>
      </c>
      <c r="R51" s="2" t="inlineStr"/>
      <c r="S51" s="2" t="inlineStr"/>
      <c r="T51" s="2" t="inlineStr"/>
      <c r="U51" s="2" t="inlineStr"/>
    </row>
    <row r="52">
      <c r="A52" s="2" t="inlineStr">
        <is>
          <t>20260419-0042</t>
        </is>
      </c>
      <c r="B52" s="8" t="n">
        <v>46131</v>
      </c>
      <c r="C52" s="8" t="n">
        <v>46131</v>
      </c>
      <c r="D52" s="2" t="inlineStr">
        <is>
          <t>Costco Anywhere Visa (Citi) ****6858</t>
        </is>
      </c>
      <c r="E52" s="2" t="inlineStr">
        <is>
          <t>구매</t>
        </is>
      </c>
      <c r="F52" s="2" t="inlineStr">
        <is>
          <t>COSTCO WHSE #0484 OREM UT</t>
        </is>
      </c>
      <c r="G52" s="2" t="inlineStr">
        <is>
          <t>Costco Warehouse</t>
        </is>
      </c>
      <c r="H52" s="2" t="inlineStr">
        <is>
          <t>식료품/생활용품</t>
        </is>
      </c>
      <c r="I52" s="2" t="inlineStr">
        <is>
          <t>Costco 매장</t>
        </is>
      </c>
      <c r="J52" s="2" t="inlineStr">
        <is>
          <t>Costco 매장</t>
        </is>
      </c>
      <c r="K52" s="4" t="n">
        <v>38.66</v>
      </c>
      <c r="L52" s="4">
        <f>IF($E52="구매",$K52,0)</f>
        <v/>
      </c>
      <c r="M52" s="4">
        <f>IF($E52="환불/크레딧",$K52,0)</f>
        <v/>
      </c>
      <c r="N52" s="4">
        <f>IF($E52="결제",$K52,0)</f>
        <v/>
      </c>
      <c r="O52" s="4">
        <f>$K52</f>
        <v/>
      </c>
      <c r="P52" s="2" t="inlineStr">
        <is>
          <t>2026-05</t>
        </is>
      </c>
      <c r="Q52" s="2" t="inlineStr">
        <is>
          <t>May2026_2c5d.pdf</t>
        </is>
      </c>
      <c r="R52" s="2" t="inlineStr"/>
      <c r="S52" s="2" t="inlineStr"/>
      <c r="T52" s="2" t="inlineStr"/>
      <c r="U52" s="2" t="inlineStr"/>
    </row>
    <row r="53">
      <c r="A53" s="2" t="inlineStr">
        <is>
          <t>20260422-0043</t>
        </is>
      </c>
      <c r="B53" s="8" t="n">
        <v>46134</v>
      </c>
      <c r="C53" s="8" t="n"/>
      <c r="D53" s="2" t="inlineStr">
        <is>
          <t>Costco Anywhere Visa (Citi) ****6858</t>
        </is>
      </c>
      <c r="E53" s="2" t="inlineStr">
        <is>
          <t>결제</t>
        </is>
      </c>
      <c r="F53" s="2" t="inlineStr">
        <is>
          <t>ONLINE PAYMENT, THANK YOU</t>
        </is>
      </c>
      <c r="G53" s="2" t="inlineStr">
        <is>
          <t>Card Payment</t>
        </is>
      </c>
      <c r="H53" s="2" t="inlineStr">
        <is>
          <t>결제/이체</t>
        </is>
      </c>
      <c r="I53" s="2" t="inlineStr">
        <is>
          <t>카드대금 결제</t>
        </is>
      </c>
      <c r="J53" s="2" t="inlineStr">
        <is>
          <t>카드결제</t>
        </is>
      </c>
      <c r="K53" s="4" t="n">
        <v>-365.66</v>
      </c>
      <c r="L53" s="4">
        <f>IF($E53="구매",$K53,0)</f>
        <v/>
      </c>
      <c r="M53" s="4">
        <f>IF($E53="환불/크레딧",$K53,0)</f>
        <v/>
      </c>
      <c r="N53" s="4">
        <f>IF($E53="결제",$K53,0)</f>
        <v/>
      </c>
      <c r="O53" s="4">
        <f>$K53</f>
        <v/>
      </c>
      <c r="P53" s="2" t="inlineStr">
        <is>
          <t>2026-05</t>
        </is>
      </c>
      <c r="Q53" s="2" t="inlineStr">
        <is>
          <t>May2026_2c5d.pdf</t>
        </is>
      </c>
      <c r="R53" s="2" t="inlineStr"/>
      <c r="S53" s="2" t="inlineStr"/>
      <c r="T53" s="2" t="inlineStr"/>
      <c r="U53" s="2" t="inlineStr"/>
    </row>
    <row r="54">
      <c r="A54" s="2" t="inlineStr">
        <is>
          <t>20260422-0044</t>
        </is>
      </c>
      <c r="B54" s="8" t="n">
        <v>46134</v>
      </c>
      <c r="C54" s="8" t="n"/>
      <c r="D54" s="2" t="inlineStr">
        <is>
          <t>Prime Visa (Chase) ****6217</t>
        </is>
      </c>
      <c r="E54" s="2" t="inlineStr">
        <is>
          <t>결제</t>
        </is>
      </c>
      <c r="F54" s="2" t="inlineStr">
        <is>
          <t>Payment Thank You-Mobile</t>
        </is>
      </c>
      <c r="G54" s="2" t="inlineStr">
        <is>
          <t>Card Payment</t>
        </is>
      </c>
      <c r="H54" s="2" t="inlineStr">
        <is>
          <t>결제/이체</t>
        </is>
      </c>
      <c r="I54" s="2" t="inlineStr">
        <is>
          <t>카드대금 결제</t>
        </is>
      </c>
      <c r="J54" s="2" t="inlineStr">
        <is>
          <t>카드결제</t>
        </is>
      </c>
      <c r="K54" s="4" t="n">
        <v>-120.95</v>
      </c>
      <c r="L54" s="4">
        <f>IF($E54="구매",$K54,0)</f>
        <v/>
      </c>
      <c r="M54" s="4">
        <f>IF($E54="환불/크레딧",$K54,0)</f>
        <v/>
      </c>
      <c r="N54" s="4">
        <f>IF($E54="결제",$K54,0)</f>
        <v/>
      </c>
      <c r="O54" s="4">
        <f>$K54</f>
        <v/>
      </c>
      <c r="P54" s="2" t="inlineStr">
        <is>
          <t>2026-04</t>
        </is>
      </c>
      <c r="Q54" s="2" t="inlineStr">
        <is>
          <t>BE3F4263-FAF2-4A9C-87A5-53852C30604D-list_09af.pdf</t>
        </is>
      </c>
      <c r="R54" s="2" t="inlineStr"/>
      <c r="S54" s="2" t="inlineStr"/>
      <c r="T54" s="2" t="inlineStr"/>
      <c r="U54" s="2" t="inlineStr"/>
    </row>
    <row r="55">
      <c r="A55" s="2" t="inlineStr">
        <is>
          <t>20260425-0045</t>
        </is>
      </c>
      <c r="B55" s="8" t="n">
        <v>46137</v>
      </c>
      <c r="C55" s="8" t="n"/>
      <c r="D55" s="2" t="inlineStr">
        <is>
          <t>Prime Visa (Chase) ****6217</t>
        </is>
      </c>
      <c r="E55" s="2" t="inlineStr">
        <is>
          <t>구매</t>
        </is>
      </c>
      <c r="F55" s="2" t="inlineStr">
        <is>
          <t>AMAZON MKTPL*BJ8XT25Y2 Amzn.com/bill WA</t>
        </is>
      </c>
      <c r="G55" s="2" t="inlineStr">
        <is>
          <t>Amazon</t>
        </is>
      </c>
      <c r="H55" s="2" t="inlineStr">
        <is>
          <t>온라인쇼핑</t>
        </is>
      </c>
      <c r="I55" s="2" t="inlineStr">
        <is>
          <t>Amazon</t>
        </is>
      </c>
      <c r="J55" s="2" t="inlineStr">
        <is>
          <t>Amazon</t>
        </is>
      </c>
      <c r="K55" s="4" t="n">
        <v>43.59</v>
      </c>
      <c r="L55" s="4">
        <f>IF($E55="구매",$K55,0)</f>
        <v/>
      </c>
      <c r="M55" s="4">
        <f>IF($E55="환불/크레딧",$K55,0)</f>
        <v/>
      </c>
      <c r="N55" s="4">
        <f>IF($E55="결제",$K55,0)</f>
        <v/>
      </c>
      <c r="O55" s="4">
        <f>$K55</f>
        <v/>
      </c>
      <c r="P55" s="2" t="inlineStr">
        <is>
          <t>2026-04</t>
        </is>
      </c>
      <c r="Q55" s="2" t="inlineStr">
        <is>
          <t>BE3F4263-FAF2-4A9C-87A5-53852C30604D-list_09af.pdf</t>
        </is>
      </c>
      <c r="R55" s="2" t="inlineStr"/>
      <c r="S55" s="2" t="inlineStr"/>
      <c r="T55" s="2" t="inlineStr"/>
      <c r="U55" s="2" t="inlineStr"/>
    </row>
    <row r="56">
      <c r="A56" s="2" t="inlineStr">
        <is>
          <t>20260426-0046</t>
        </is>
      </c>
      <c r="B56" s="8" t="n">
        <v>46138</v>
      </c>
      <c r="C56" s="8" t="n">
        <v>46138</v>
      </c>
      <c r="D56" s="2" t="inlineStr">
        <is>
          <t>Costco Anywhere Visa (Citi) ****6858</t>
        </is>
      </c>
      <c r="E56" s="2" t="inlineStr">
        <is>
          <t>구매</t>
        </is>
      </c>
      <c r="F56" s="2" t="inlineStr">
        <is>
          <t>COSTCO GAS #0484 OREM UT</t>
        </is>
      </c>
      <c r="G56" s="2" t="inlineStr">
        <is>
          <t>Costco Gas</t>
        </is>
      </c>
      <c r="H56" s="2" t="inlineStr">
        <is>
          <t>교통/주유</t>
        </is>
      </c>
      <c r="I56" s="2" t="inlineStr">
        <is>
          <t>주유</t>
        </is>
      </c>
      <c r="J56" s="2" t="inlineStr">
        <is>
          <t>Costco Gas</t>
        </is>
      </c>
      <c r="K56" s="4" t="n">
        <v>57.18</v>
      </c>
      <c r="L56" s="4">
        <f>IF($E56="구매",$K56,0)</f>
        <v/>
      </c>
      <c r="M56" s="4">
        <f>IF($E56="환불/크레딧",$K56,0)</f>
        <v/>
      </c>
      <c r="N56" s="4">
        <f>IF($E56="결제",$K56,0)</f>
        <v/>
      </c>
      <c r="O56" s="4">
        <f>$K56</f>
        <v/>
      </c>
      <c r="P56" s="2" t="inlineStr">
        <is>
          <t>2026-05</t>
        </is>
      </c>
      <c r="Q56" s="2" t="inlineStr">
        <is>
          <t>May2026_2c5d.pdf</t>
        </is>
      </c>
      <c r="R56" s="2" t="inlineStr"/>
      <c r="S56" s="2" t="inlineStr"/>
      <c r="T56" s="2" t="inlineStr"/>
      <c r="U56" s="2" t="inlineStr"/>
    </row>
    <row r="57">
      <c r="A57" s="2" t="inlineStr">
        <is>
          <t>20260427-0047</t>
        </is>
      </c>
      <c r="B57" s="8" t="n">
        <v>46139</v>
      </c>
      <c r="C57" s="8" t="n"/>
      <c r="D57" s="2" t="inlineStr">
        <is>
          <t>Prime Visa (Chase) ****6217</t>
        </is>
      </c>
      <c r="E57" s="2" t="inlineStr">
        <is>
          <t>구매</t>
        </is>
      </c>
      <c r="F57" s="2" t="inlineStr">
        <is>
          <t>AMAZON MKTPL*BS2LG7ZQ0 Amzn.com/bill WA</t>
        </is>
      </c>
      <c r="G57" s="2" t="inlineStr">
        <is>
          <t>Amazon</t>
        </is>
      </c>
      <c r="H57" s="2" t="inlineStr">
        <is>
          <t>온라인쇼핑</t>
        </is>
      </c>
      <c r="I57" s="2" t="inlineStr">
        <is>
          <t>Amazon</t>
        </is>
      </c>
      <c r="J57" s="2" t="inlineStr">
        <is>
          <t>Amazon</t>
        </is>
      </c>
      <c r="K57" s="4" t="n">
        <v>40.82</v>
      </c>
      <c r="L57" s="4">
        <f>IF($E57="구매",$K57,0)</f>
        <v/>
      </c>
      <c r="M57" s="4">
        <f>IF($E57="환불/크레딧",$K57,0)</f>
        <v/>
      </c>
      <c r="N57" s="4">
        <f>IF($E57="결제",$K57,0)</f>
        <v/>
      </c>
      <c r="O57" s="4">
        <f>$K57</f>
        <v/>
      </c>
      <c r="P57" s="2" t="inlineStr">
        <is>
          <t>2026-04</t>
        </is>
      </c>
      <c r="Q57" s="2" t="inlineStr">
        <is>
          <t>BE3F4263-FAF2-4A9C-87A5-53852C30604D-list_09af.pdf</t>
        </is>
      </c>
      <c r="R57" s="2" t="inlineStr"/>
      <c r="S57" s="2" t="inlineStr"/>
      <c r="T57" s="2" t="inlineStr"/>
      <c r="U57" s="2" t="inlineStr"/>
    </row>
    <row r="58">
      <c r="A58" s="2" t="inlineStr">
        <is>
          <t>20260429-0048</t>
        </is>
      </c>
      <c r="B58" s="8" t="n">
        <v>46141</v>
      </c>
      <c r="C58" s="8" t="n"/>
      <c r="D58" s="2" t="inlineStr">
        <is>
          <t>Prime Visa (Chase) ****6217</t>
        </is>
      </c>
      <c r="E58" s="2" t="inlineStr">
        <is>
          <t>구매</t>
        </is>
      </c>
      <c r="F58" s="2" t="inlineStr">
        <is>
          <t>AMAZON MKTPL*BJ35W1NP1 Amzn.com/bill WA</t>
        </is>
      </c>
      <c r="G58" s="2" t="inlineStr">
        <is>
          <t>Amazon</t>
        </is>
      </c>
      <c r="H58" s="2" t="inlineStr">
        <is>
          <t>온라인쇼핑</t>
        </is>
      </c>
      <c r="I58" s="2" t="inlineStr">
        <is>
          <t>Amazon</t>
        </is>
      </c>
      <c r="J58" s="2" t="inlineStr">
        <is>
          <t>Amazon</t>
        </is>
      </c>
      <c r="K58" s="4" t="n">
        <v>16.17</v>
      </c>
      <c r="L58" s="4">
        <f>IF($E58="구매",$K58,0)</f>
        <v/>
      </c>
      <c r="M58" s="4">
        <f>IF($E58="환불/크레딧",$K58,0)</f>
        <v/>
      </c>
      <c r="N58" s="4">
        <f>IF($E58="결제",$K58,0)</f>
        <v/>
      </c>
      <c r="O58" s="4">
        <f>$K58</f>
        <v/>
      </c>
      <c r="P58" s="2" t="inlineStr">
        <is>
          <t>2026-05</t>
        </is>
      </c>
      <c r="Q58" s="2" t="inlineStr">
        <is>
          <t>69212C10-1B95-4A05-9104-379BBA52768F-list_d242.pdf</t>
        </is>
      </c>
      <c r="R58" s="2" t="inlineStr"/>
      <c r="S58" s="2" t="inlineStr"/>
      <c r="T58" s="2" t="inlineStr"/>
      <c r="U58" s="2" t="inlineStr"/>
    </row>
    <row r="59">
      <c r="A59" s="2" t="inlineStr">
        <is>
          <t>20260501-0049</t>
        </is>
      </c>
      <c r="B59" s="8" t="n">
        <v>46143</v>
      </c>
      <c r="C59" s="8" t="n">
        <v>46143</v>
      </c>
      <c r="D59" s="2" t="inlineStr">
        <is>
          <t>Costco Anywhere Visa (Citi) ****6858</t>
        </is>
      </c>
      <c r="E59" s="2" t="inlineStr">
        <is>
          <t>구매</t>
        </is>
      </c>
      <c r="F59" s="2" t="inlineStr">
        <is>
          <t>COSTCO WHSE #0484 OREM UT</t>
        </is>
      </c>
      <c r="G59" s="2" t="inlineStr">
        <is>
          <t>Costco Warehouse</t>
        </is>
      </c>
      <c r="H59" s="2" t="inlineStr">
        <is>
          <t>식료품/생활용품</t>
        </is>
      </c>
      <c r="I59" s="2" t="inlineStr">
        <is>
          <t>Costco 매장</t>
        </is>
      </c>
      <c r="J59" s="2" t="inlineStr">
        <is>
          <t>Costco 매장</t>
        </is>
      </c>
      <c r="K59" s="4" t="n">
        <v>5.94</v>
      </c>
      <c r="L59" s="4">
        <f>IF($E59="구매",$K59,0)</f>
        <v/>
      </c>
      <c r="M59" s="4">
        <f>IF($E59="환불/크레딧",$K59,0)</f>
        <v/>
      </c>
      <c r="N59" s="4">
        <f>IF($E59="결제",$K59,0)</f>
        <v/>
      </c>
      <c r="O59" s="4">
        <f>$K59</f>
        <v/>
      </c>
      <c r="P59" s="2" t="inlineStr">
        <is>
          <t>2026-05</t>
        </is>
      </c>
      <c r="Q59" s="2" t="inlineStr">
        <is>
          <t>May2026_2c5d.pdf</t>
        </is>
      </c>
      <c r="R59" s="2" t="inlineStr"/>
      <c r="S59" s="2" t="inlineStr"/>
      <c r="T59" s="2" t="inlineStr"/>
      <c r="U59" s="2" t="inlineStr"/>
    </row>
    <row r="60">
      <c r="A60" s="2" t="inlineStr">
        <is>
          <t>20260501-0050</t>
        </is>
      </c>
      <c r="B60" s="8" t="n">
        <v>46143</v>
      </c>
      <c r="C60" s="8" t="n"/>
      <c r="D60" s="2" t="inlineStr">
        <is>
          <t>Prime Visa (Chase) ****6217</t>
        </is>
      </c>
      <c r="E60" s="2" t="inlineStr">
        <is>
          <t>구매</t>
        </is>
      </c>
      <c r="F60" s="2" t="inlineStr">
        <is>
          <t>AMAZON MKTPL*BJ9771GJ1 Amzn.com/bill WA</t>
        </is>
      </c>
      <c r="G60" s="2" t="inlineStr">
        <is>
          <t>Amazon</t>
        </is>
      </c>
      <c r="H60" s="2" t="inlineStr">
        <is>
          <t>온라인쇼핑</t>
        </is>
      </c>
      <c r="I60" s="2" t="inlineStr">
        <is>
          <t>Amazon</t>
        </is>
      </c>
      <c r="J60" s="2" t="inlineStr">
        <is>
          <t>Amazon</t>
        </is>
      </c>
      <c r="K60" s="4" t="n">
        <v>15.29</v>
      </c>
      <c r="L60" s="4">
        <f>IF($E60="구매",$K60,0)</f>
        <v/>
      </c>
      <c r="M60" s="4">
        <f>IF($E60="환불/크레딧",$K60,0)</f>
        <v/>
      </c>
      <c r="N60" s="4">
        <f>IF($E60="결제",$K60,0)</f>
        <v/>
      </c>
      <c r="O60" s="4">
        <f>$K60</f>
        <v/>
      </c>
      <c r="P60" s="2" t="inlineStr">
        <is>
          <t>2026-05</t>
        </is>
      </c>
      <c r="Q60" s="2" t="inlineStr">
        <is>
          <t>69212C10-1B95-4A05-9104-379BBA52768F-list_d242.pdf</t>
        </is>
      </c>
      <c r="R60" s="2" t="inlineStr"/>
      <c r="S60" s="2" t="inlineStr"/>
      <c r="T60" s="2" t="inlineStr"/>
      <c r="U60" s="2" t="inlineStr"/>
    </row>
    <row r="61">
      <c r="A61" s="2" t="inlineStr">
        <is>
          <t>20260506-0051</t>
        </is>
      </c>
      <c r="B61" s="8" t="n">
        <v>46148</v>
      </c>
      <c r="C61" s="8" t="n"/>
      <c r="D61" s="2" t="inlineStr">
        <is>
          <t>Prime Visa (Chase) ****6217</t>
        </is>
      </c>
      <c r="E61" s="2" t="inlineStr">
        <is>
          <t>환불/크레딧</t>
        </is>
      </c>
      <c r="F61" s="2" t="inlineStr">
        <is>
          <t>AMAZON MKTPLACE PMTS Amzn.com/bill WA</t>
        </is>
      </c>
      <c r="G61" s="2" t="inlineStr">
        <is>
          <t>Amazon</t>
        </is>
      </c>
      <c r="H61" s="2" t="inlineStr">
        <is>
          <t>환불/크레딧</t>
        </is>
      </c>
      <c r="I61" s="2" t="inlineStr">
        <is>
          <t>환불/반품</t>
        </is>
      </c>
      <c r="J61" s="2" t="inlineStr">
        <is>
          <t>Amazon 환불</t>
        </is>
      </c>
      <c r="K61" s="4" t="n">
        <v>-40.82</v>
      </c>
      <c r="L61" s="4">
        <f>IF($E61="구매",$K61,0)</f>
        <v/>
      </c>
      <c r="M61" s="4">
        <f>IF($E61="환불/크레딧",$K61,0)</f>
        <v/>
      </c>
      <c r="N61" s="4">
        <f>IF($E61="결제",$K61,0)</f>
        <v/>
      </c>
      <c r="O61" s="4">
        <f>$K61</f>
        <v/>
      </c>
      <c r="P61" s="2" t="inlineStr">
        <is>
          <t>2026-05</t>
        </is>
      </c>
      <c r="Q61" s="2" t="inlineStr">
        <is>
          <t>69212C10-1B95-4A05-9104-379BBA52768F-list_d242.pdf</t>
        </is>
      </c>
      <c r="R61" s="2" t="inlineStr"/>
      <c r="S61" s="2" t="inlineStr"/>
      <c r="T61" s="2" t="inlineStr"/>
      <c r="U61" s="2" t="inlineStr"/>
    </row>
    <row r="62">
      <c r="A62" s="2" t="inlineStr">
        <is>
          <t>20260509-0052</t>
        </is>
      </c>
      <c r="B62" s="8" t="n">
        <v>46151</v>
      </c>
      <c r="C62" s="8" t="n">
        <v>46151</v>
      </c>
      <c r="D62" s="2" t="inlineStr">
        <is>
          <t>Costco Anywhere Visa (Citi) ****6858</t>
        </is>
      </c>
      <c r="E62" s="2" t="inlineStr">
        <is>
          <t>구매</t>
        </is>
      </c>
      <c r="F62" s="2" t="inlineStr">
        <is>
          <t>COSTCO GAS #0484 OREM UT</t>
        </is>
      </c>
      <c r="G62" s="2" t="inlineStr">
        <is>
          <t>Costco Gas</t>
        </is>
      </c>
      <c r="H62" s="2" t="inlineStr">
        <is>
          <t>교통/주유</t>
        </is>
      </c>
      <c r="I62" s="2" t="inlineStr">
        <is>
          <t>주유</t>
        </is>
      </c>
      <c r="J62" s="2" t="inlineStr">
        <is>
          <t>Costco Gas</t>
        </is>
      </c>
      <c r="K62" s="4" t="n">
        <v>50.92</v>
      </c>
      <c r="L62" s="4">
        <f>IF($E62="구매",$K62,0)</f>
        <v/>
      </c>
      <c r="M62" s="4">
        <f>IF($E62="환불/크레딧",$K62,0)</f>
        <v/>
      </c>
      <c r="N62" s="4">
        <f>IF($E62="결제",$K62,0)</f>
        <v/>
      </c>
      <c r="O62" s="4">
        <f>$K62</f>
        <v/>
      </c>
      <c r="P62" s="2" t="inlineStr">
        <is>
          <t>2026-06</t>
        </is>
      </c>
      <c r="Q62" s="2" t="inlineStr">
        <is>
          <t>June2026_4656.pdf</t>
        </is>
      </c>
      <c r="R62" s="2" t="inlineStr"/>
      <c r="S62" s="2" t="inlineStr"/>
      <c r="T62" s="2" t="inlineStr"/>
      <c r="U62" s="2" t="inlineStr"/>
    </row>
    <row r="63">
      <c r="A63" s="2" t="inlineStr">
        <is>
          <t>20260509-0053</t>
        </is>
      </c>
      <c r="B63" s="8" t="n">
        <v>46151</v>
      </c>
      <c r="C63" s="8" t="n">
        <v>46151</v>
      </c>
      <c r="D63" s="2" t="inlineStr">
        <is>
          <t>Costco Anywhere Visa (Citi) ****6858</t>
        </is>
      </c>
      <c r="E63" s="2" t="inlineStr">
        <is>
          <t>구매</t>
        </is>
      </c>
      <c r="F63" s="2" t="inlineStr">
        <is>
          <t>COSTCO WHSE #0484 OREM UT</t>
        </is>
      </c>
      <c r="G63" s="2" t="inlineStr">
        <is>
          <t>Costco Warehouse</t>
        </is>
      </c>
      <c r="H63" s="2" t="inlineStr">
        <is>
          <t>식료품/생활용품</t>
        </is>
      </c>
      <c r="I63" s="2" t="inlineStr">
        <is>
          <t>Costco 매장</t>
        </is>
      </c>
      <c r="J63" s="2" t="inlineStr">
        <is>
          <t>Costco 매장</t>
        </is>
      </c>
      <c r="K63" s="4" t="n">
        <v>99.89</v>
      </c>
      <c r="L63" s="4">
        <f>IF($E63="구매",$K63,0)</f>
        <v/>
      </c>
      <c r="M63" s="4">
        <f>IF($E63="환불/크레딧",$K63,0)</f>
        <v/>
      </c>
      <c r="N63" s="4">
        <f>IF($E63="결제",$K63,0)</f>
        <v/>
      </c>
      <c r="O63" s="4">
        <f>$K63</f>
        <v/>
      </c>
      <c r="P63" s="2" t="inlineStr">
        <is>
          <t>2026-06</t>
        </is>
      </c>
      <c r="Q63" s="2" t="inlineStr">
        <is>
          <t>June2026_4656.pdf</t>
        </is>
      </c>
      <c r="R63" s="2" t="inlineStr"/>
      <c r="S63" s="2" t="inlineStr"/>
      <c r="T63" s="2" t="inlineStr"/>
      <c r="U63" s="2" t="inlineStr"/>
    </row>
    <row r="64">
      <c r="A64" s="2" t="inlineStr">
        <is>
          <t>20260509-0054</t>
        </is>
      </c>
      <c r="B64" s="8" t="n">
        <v>46151</v>
      </c>
      <c r="C64" s="8" t="n"/>
      <c r="D64" s="2" t="inlineStr">
        <is>
          <t>Prime Visa (Chase) ****6217</t>
        </is>
      </c>
      <c r="E64" s="2" t="inlineStr">
        <is>
          <t>구매</t>
        </is>
      </c>
      <c r="F64" s="2" t="inlineStr">
        <is>
          <t>AMAZON MKTPL*BV5M29LZ0 Amzn.com/bill WA</t>
        </is>
      </c>
      <c r="G64" s="2" t="inlineStr">
        <is>
          <t>Amazon</t>
        </is>
      </c>
      <c r="H64" s="2" t="inlineStr">
        <is>
          <t>온라인쇼핑</t>
        </is>
      </c>
      <c r="I64" s="2" t="inlineStr">
        <is>
          <t>Amazon</t>
        </is>
      </c>
      <c r="J64" s="2" t="inlineStr">
        <is>
          <t>Amazon</t>
        </is>
      </c>
      <c r="K64" s="4" t="n">
        <v>6.94</v>
      </c>
      <c r="L64" s="4">
        <f>IF($E64="구매",$K64,0)</f>
        <v/>
      </c>
      <c r="M64" s="4">
        <f>IF($E64="환불/크레딧",$K64,0)</f>
        <v/>
      </c>
      <c r="N64" s="4">
        <f>IF($E64="결제",$K64,0)</f>
        <v/>
      </c>
      <c r="O64" s="4">
        <f>$K64</f>
        <v/>
      </c>
      <c r="P64" s="2" t="inlineStr">
        <is>
          <t>2026-05</t>
        </is>
      </c>
      <c r="Q64" s="2" t="inlineStr">
        <is>
          <t>69212C10-1B95-4A05-9104-379BBA52768F-list_d242.pdf</t>
        </is>
      </c>
      <c r="R64" s="2" t="inlineStr"/>
      <c r="S64" s="2" t="inlineStr"/>
      <c r="T64" s="2" t="inlineStr"/>
      <c r="U64" s="2" t="inlineStr"/>
    </row>
    <row r="65">
      <c r="A65" s="2" t="inlineStr">
        <is>
          <t>20260510-0055</t>
        </is>
      </c>
      <c r="B65" s="8" t="n">
        <v>46152</v>
      </c>
      <c r="C65" s="8" t="n">
        <v>46152</v>
      </c>
      <c r="D65" s="2" t="inlineStr">
        <is>
          <t>Costco Anywhere Visa (Citi) ****6858</t>
        </is>
      </c>
      <c r="E65" s="2" t="inlineStr">
        <is>
          <t>구매</t>
        </is>
      </c>
      <c r="F65" s="2" t="inlineStr">
        <is>
          <t>Nintendo CC1626816227 800-2553700 WA</t>
        </is>
      </c>
      <c r="G65" s="2" t="inlineStr">
        <is>
          <t>Nintendo</t>
        </is>
      </c>
      <c r="H65" s="2" t="inlineStr">
        <is>
          <t>엔터테인먼트</t>
        </is>
      </c>
      <c r="I65" s="2" t="inlineStr">
        <is>
          <t>게임/디지털</t>
        </is>
      </c>
      <c r="J65" s="2" t="inlineStr">
        <is>
          <t>게임/디지털</t>
        </is>
      </c>
      <c r="K65" s="4" t="n">
        <v>64.45999999999999</v>
      </c>
      <c r="L65" s="4">
        <f>IF($E65="구매",$K65,0)</f>
        <v/>
      </c>
      <c r="M65" s="4">
        <f>IF($E65="환불/크레딧",$K65,0)</f>
        <v/>
      </c>
      <c r="N65" s="4">
        <f>IF($E65="결제",$K65,0)</f>
        <v/>
      </c>
      <c r="O65" s="4">
        <f>$K65</f>
        <v/>
      </c>
      <c r="P65" s="2" t="inlineStr">
        <is>
          <t>2026-06</t>
        </is>
      </c>
      <c r="Q65" s="2" t="inlineStr">
        <is>
          <t>June2026_4656.pdf</t>
        </is>
      </c>
      <c r="R65" s="2" t="inlineStr"/>
      <c r="S65" s="2" t="inlineStr"/>
      <c r="T65" s="2" t="inlineStr"/>
      <c r="U65" s="2" t="inlineStr"/>
    </row>
    <row r="66">
      <c r="A66" s="2" t="inlineStr">
        <is>
          <t>20260510-0056</t>
        </is>
      </c>
      <c r="B66" s="8" t="n">
        <v>46152</v>
      </c>
      <c r="C66" s="8" t="n"/>
      <c r="D66" s="2" t="inlineStr">
        <is>
          <t>Prime Visa (Chase) ****6217</t>
        </is>
      </c>
      <c r="E66" s="2" t="inlineStr">
        <is>
          <t>구매</t>
        </is>
      </c>
      <c r="F66" s="2" t="inlineStr">
        <is>
          <t>AMAZON MKTPL*BV3ZY9YE1 Amzn.com/bill WA</t>
        </is>
      </c>
      <c r="G66" s="2" t="inlineStr">
        <is>
          <t>Amazon</t>
        </is>
      </c>
      <c r="H66" s="2" t="inlineStr">
        <is>
          <t>온라인쇼핑</t>
        </is>
      </c>
      <c r="I66" s="2" t="inlineStr">
        <is>
          <t>Amazon</t>
        </is>
      </c>
      <c r="J66" s="2" t="inlineStr">
        <is>
          <t>Amazon</t>
        </is>
      </c>
      <c r="K66" s="4" t="n">
        <v>47.36</v>
      </c>
      <c r="L66" s="4">
        <f>IF($E66="구매",$K66,0)</f>
        <v/>
      </c>
      <c r="M66" s="4">
        <f>IF($E66="환불/크레딧",$K66,0)</f>
        <v/>
      </c>
      <c r="N66" s="4">
        <f>IF($E66="결제",$K66,0)</f>
        <v/>
      </c>
      <c r="O66" s="4">
        <f>$K66</f>
        <v/>
      </c>
      <c r="P66" s="2" t="inlineStr">
        <is>
          <t>2026-05</t>
        </is>
      </c>
      <c r="Q66" s="2" t="inlineStr">
        <is>
          <t>69212C10-1B95-4A05-9104-379BBA52768F-list_d242.pdf</t>
        </is>
      </c>
      <c r="R66" s="2" t="inlineStr"/>
      <c r="S66" s="2" t="inlineStr"/>
      <c r="T66" s="2" t="inlineStr"/>
      <c r="U66" s="2" t="inlineStr"/>
    </row>
    <row r="67">
      <c r="A67" s="2" t="inlineStr">
        <is>
          <t>20260510-0057</t>
        </is>
      </c>
      <c r="B67" s="8" t="n">
        <v>46152</v>
      </c>
      <c r="C67" s="8" t="n"/>
      <c r="D67" s="2" t="inlineStr">
        <is>
          <t>Prime Visa (Chase) ****6217</t>
        </is>
      </c>
      <c r="E67" s="2" t="inlineStr">
        <is>
          <t>구매</t>
        </is>
      </c>
      <c r="F67" s="2" t="inlineStr">
        <is>
          <t>AMAZON MKTPL*EY6229ND3 Amzn.com/bill WA</t>
        </is>
      </c>
      <c r="G67" s="2" t="inlineStr">
        <is>
          <t>Amazon</t>
        </is>
      </c>
      <c r="H67" s="2" t="inlineStr">
        <is>
          <t>온라인쇼핑</t>
        </is>
      </c>
      <c r="I67" s="2" t="inlineStr">
        <is>
          <t>Amazon</t>
        </is>
      </c>
      <c r="J67" s="2" t="inlineStr">
        <is>
          <t>Amazon</t>
        </is>
      </c>
      <c r="K67" s="4" t="n">
        <v>12.35</v>
      </c>
      <c r="L67" s="4">
        <f>IF($E67="구매",$K67,0)</f>
        <v/>
      </c>
      <c r="M67" s="4">
        <f>IF($E67="환불/크레딧",$K67,0)</f>
        <v/>
      </c>
      <c r="N67" s="4">
        <f>IF($E67="결제",$K67,0)</f>
        <v/>
      </c>
      <c r="O67" s="4">
        <f>$K67</f>
        <v/>
      </c>
      <c r="P67" s="2" t="inlineStr">
        <is>
          <t>2026-05</t>
        </is>
      </c>
      <c r="Q67" s="2" t="inlineStr">
        <is>
          <t>69212C10-1B95-4A05-9104-379BBA52768F-list_d242.pdf</t>
        </is>
      </c>
      <c r="R67" s="2" t="inlineStr"/>
      <c r="S67" s="2" t="inlineStr"/>
      <c r="T67" s="2" t="inlineStr"/>
      <c r="U67" s="2" t="inlineStr"/>
    </row>
    <row r="68">
      <c r="A68" s="2" t="inlineStr">
        <is>
          <t>20260510-0058</t>
        </is>
      </c>
      <c r="B68" s="8" t="n">
        <v>46152</v>
      </c>
      <c r="C68" s="8" t="n"/>
      <c r="D68" s="2" t="inlineStr">
        <is>
          <t>Prime Visa (Chase) ****6217</t>
        </is>
      </c>
      <c r="E68" s="2" t="inlineStr">
        <is>
          <t>구매</t>
        </is>
      </c>
      <c r="F68" s="2" t="inlineStr">
        <is>
          <t>Amazon.com*BV9MS0AP0 Amzn.com/bill WA</t>
        </is>
      </c>
      <c r="G68" s="2" t="inlineStr">
        <is>
          <t>Amazon</t>
        </is>
      </c>
      <c r="H68" s="2" t="inlineStr">
        <is>
          <t>온라인쇼핑</t>
        </is>
      </c>
      <c r="I68" s="2" t="inlineStr">
        <is>
          <t>Amazon</t>
        </is>
      </c>
      <c r="J68" s="2" t="inlineStr">
        <is>
          <t>Amazon</t>
        </is>
      </c>
      <c r="K68" s="4" t="n">
        <v>19.1</v>
      </c>
      <c r="L68" s="4">
        <f>IF($E68="구매",$K68,0)</f>
        <v/>
      </c>
      <c r="M68" s="4">
        <f>IF($E68="환불/크레딧",$K68,0)</f>
        <v/>
      </c>
      <c r="N68" s="4">
        <f>IF($E68="결제",$K68,0)</f>
        <v/>
      </c>
      <c r="O68" s="4">
        <f>$K68</f>
        <v/>
      </c>
      <c r="P68" s="2" t="inlineStr">
        <is>
          <t>2026-05</t>
        </is>
      </c>
      <c r="Q68" s="2" t="inlineStr">
        <is>
          <t>69212C10-1B95-4A05-9104-379BBA52768F-list_d242.pdf</t>
        </is>
      </c>
      <c r="R68" s="2" t="inlineStr"/>
      <c r="S68" s="2" t="inlineStr"/>
      <c r="T68" s="2" t="inlineStr"/>
      <c r="U68" s="2" t="inlineStr"/>
    </row>
    <row r="69">
      <c r="A69" s="2" t="inlineStr">
        <is>
          <t>20260511-0059</t>
        </is>
      </c>
      <c r="B69" s="8" t="n">
        <v>46153</v>
      </c>
      <c r="C69" s="8" t="n">
        <v>46153</v>
      </c>
      <c r="D69" s="2" t="inlineStr">
        <is>
          <t>Costco Anywhere Visa (Citi) ****6858</t>
        </is>
      </c>
      <c r="E69" s="2" t="inlineStr">
        <is>
          <t>구매</t>
        </is>
      </c>
      <c r="F69" s="2" t="inlineStr">
        <is>
          <t>PROGRESSIVE INS 800-776-4737 OH</t>
        </is>
      </c>
      <c r="G69" s="2" t="inlineStr">
        <is>
          <t>Progressive Insurance</t>
        </is>
      </c>
      <c r="H69" s="2" t="inlineStr">
        <is>
          <t>보험</t>
        </is>
      </c>
      <c r="I69" s="2" t="inlineStr">
        <is>
          <t>자동차보험</t>
        </is>
      </c>
      <c r="J69" s="2" t="inlineStr">
        <is>
          <t>자동차보험</t>
        </is>
      </c>
      <c r="K69" s="4" t="n">
        <v>440</v>
      </c>
      <c r="L69" s="4">
        <f>IF($E69="구매",$K69,0)</f>
        <v/>
      </c>
      <c r="M69" s="4">
        <f>IF($E69="환불/크레딧",$K69,0)</f>
        <v/>
      </c>
      <c r="N69" s="4">
        <f>IF($E69="결제",$K69,0)</f>
        <v/>
      </c>
      <c r="O69" s="4">
        <f>$K69</f>
        <v/>
      </c>
      <c r="P69" s="2" t="inlineStr">
        <is>
          <t>2026-06</t>
        </is>
      </c>
      <c r="Q69" s="2" t="inlineStr">
        <is>
          <t>June2026_4656.pdf</t>
        </is>
      </c>
      <c r="R69" s="2" t="inlineStr"/>
      <c r="S69" s="2" t="inlineStr"/>
      <c r="T69" s="2" t="inlineStr"/>
      <c r="U69" s="2" t="inlineStr"/>
    </row>
    <row r="70">
      <c r="A70" s="2" t="inlineStr">
        <is>
          <t>20260511-0060</t>
        </is>
      </c>
      <c r="B70" s="8" t="n">
        <v>46153</v>
      </c>
      <c r="C70" s="8" t="n"/>
      <c r="D70" s="2" t="inlineStr">
        <is>
          <t>Prime Visa (Chase) ****6217</t>
        </is>
      </c>
      <c r="E70" s="2" t="inlineStr">
        <is>
          <t>결제</t>
        </is>
      </c>
      <c r="F70" s="2" t="inlineStr">
        <is>
          <t>Payment Thank You-Mobile</t>
        </is>
      </c>
      <c r="G70" s="2" t="inlineStr">
        <is>
          <t>Card Payment</t>
        </is>
      </c>
      <c r="H70" s="2" t="inlineStr">
        <is>
          <t>결제/이체</t>
        </is>
      </c>
      <c r="I70" s="2" t="inlineStr">
        <is>
          <t>카드대금 결제</t>
        </is>
      </c>
      <c r="J70" s="2" t="inlineStr">
        <is>
          <t>카드결제</t>
        </is>
      </c>
      <c r="K70" s="4" t="n">
        <v>-43.59</v>
      </c>
      <c r="L70" s="4">
        <f>IF($E70="구매",$K70,0)</f>
        <v/>
      </c>
      <c r="M70" s="4">
        <f>IF($E70="환불/크레딧",$K70,0)</f>
        <v/>
      </c>
      <c r="N70" s="4">
        <f>IF($E70="결제",$K70,0)</f>
        <v/>
      </c>
      <c r="O70" s="4">
        <f>$K70</f>
        <v/>
      </c>
      <c r="P70" s="2" t="inlineStr">
        <is>
          <t>2026-05</t>
        </is>
      </c>
      <c r="Q70" s="2" t="inlineStr">
        <is>
          <t>69212C10-1B95-4A05-9104-379BBA52768F-list_d242.pdf</t>
        </is>
      </c>
      <c r="R70" s="2" t="inlineStr"/>
      <c r="S70" s="2" t="inlineStr"/>
      <c r="T70" s="2" t="inlineStr"/>
      <c r="U70" s="2" t="inlineStr"/>
    </row>
    <row r="71">
      <c r="A71" s="2" t="inlineStr">
        <is>
          <t>20260513-0061</t>
        </is>
      </c>
      <c r="B71" s="8" t="n">
        <v>46155</v>
      </c>
      <c r="C71" s="8" t="n"/>
      <c r="D71" s="2" t="inlineStr">
        <is>
          <t>Prime Visa (Chase) ****6217</t>
        </is>
      </c>
      <c r="E71" s="2" t="inlineStr">
        <is>
          <t>구매</t>
        </is>
      </c>
      <c r="F71" s="2" t="inlineStr">
        <is>
          <t>Amazon.com*BF33X4XD1 Amzn.com/bill WA</t>
        </is>
      </c>
      <c r="G71" s="2" t="inlineStr">
        <is>
          <t>Amazon</t>
        </is>
      </c>
      <c r="H71" s="2" t="inlineStr">
        <is>
          <t>온라인쇼핑</t>
        </is>
      </c>
      <c r="I71" s="2" t="inlineStr">
        <is>
          <t>Amazon</t>
        </is>
      </c>
      <c r="J71" s="2" t="inlineStr">
        <is>
          <t>Amazon</t>
        </is>
      </c>
      <c r="K71" s="4" t="n">
        <v>5.45</v>
      </c>
      <c r="L71" s="4">
        <f>IF($E71="구매",$K71,0)</f>
        <v/>
      </c>
      <c r="M71" s="4">
        <f>IF($E71="환불/크레딧",$K71,0)</f>
        <v/>
      </c>
      <c r="N71" s="4">
        <f>IF($E71="결제",$K71,0)</f>
        <v/>
      </c>
      <c r="O71" s="4">
        <f>$K71</f>
        <v/>
      </c>
      <c r="P71" s="2" t="inlineStr">
        <is>
          <t>2026-05</t>
        </is>
      </c>
      <c r="Q71" s="2" t="inlineStr">
        <is>
          <t>69212C10-1B95-4A05-9104-379BBA52768F-list_d242.pdf</t>
        </is>
      </c>
      <c r="R71" s="2" t="inlineStr"/>
      <c r="S71" s="2" t="inlineStr"/>
      <c r="T71" s="2" t="inlineStr"/>
      <c r="U71" s="2" t="inlineStr"/>
    </row>
    <row r="72">
      <c r="A72" s="2" t="inlineStr">
        <is>
          <t>20260514-0062</t>
        </is>
      </c>
      <c r="B72" s="8" t="n">
        <v>46156</v>
      </c>
      <c r="C72" s="8" t="n"/>
      <c r="D72" s="2" t="inlineStr">
        <is>
          <t>Prime Visa (Chase) ****6217</t>
        </is>
      </c>
      <c r="E72" s="2" t="inlineStr">
        <is>
          <t>결제</t>
        </is>
      </c>
      <c r="F72" s="2" t="inlineStr">
        <is>
          <t>Payment Thank You-Mobile</t>
        </is>
      </c>
      <c r="G72" s="2" t="inlineStr">
        <is>
          <t>Card Payment</t>
        </is>
      </c>
      <c r="H72" s="2" t="inlineStr">
        <is>
          <t>결제/이체</t>
        </is>
      </c>
      <c r="I72" s="2" t="inlineStr">
        <is>
          <t>카드대금 결제</t>
        </is>
      </c>
      <c r="J72" s="2" t="inlineStr">
        <is>
          <t>카드결제</t>
        </is>
      </c>
      <c r="K72" s="4" t="n">
        <v>-122.66</v>
      </c>
      <c r="L72" s="4">
        <f>IF($E72="구매",$K72,0)</f>
        <v/>
      </c>
      <c r="M72" s="4">
        <f>IF($E72="환불/크레딧",$K72,0)</f>
        <v/>
      </c>
      <c r="N72" s="4">
        <f>IF($E72="결제",$K72,0)</f>
        <v/>
      </c>
      <c r="O72" s="4">
        <f>$K72</f>
        <v/>
      </c>
      <c r="P72" s="2" t="inlineStr">
        <is>
          <t>2026-05</t>
        </is>
      </c>
      <c r="Q72" s="2" t="inlineStr">
        <is>
          <t>69212C10-1B95-4A05-9104-379BBA52768F-list_d242.pdf</t>
        </is>
      </c>
      <c r="R72" s="2" t="inlineStr"/>
      <c r="S72" s="2" t="inlineStr"/>
      <c r="T72" s="2" t="inlineStr"/>
      <c r="U72" s="2" t="inlineStr"/>
    </row>
    <row r="73">
      <c r="A73" s="2" t="inlineStr">
        <is>
          <t>20260516-0063</t>
        </is>
      </c>
      <c r="B73" s="8" t="n">
        <v>46158</v>
      </c>
      <c r="C73" s="8" t="n"/>
      <c r="D73" s="2" t="inlineStr">
        <is>
          <t>Prime Visa (Chase) ****6217</t>
        </is>
      </c>
      <c r="E73" s="2" t="inlineStr">
        <is>
          <t>구매</t>
        </is>
      </c>
      <c r="F73" s="2" t="inlineStr">
        <is>
          <t>AMAZON MKTPL*ER9F60UX3 Amzn.com/bill WA</t>
        </is>
      </c>
      <c r="G73" s="2" t="inlineStr">
        <is>
          <t>Amazon</t>
        </is>
      </c>
      <c r="H73" s="2" t="inlineStr">
        <is>
          <t>온라인쇼핑</t>
        </is>
      </c>
      <c r="I73" s="2" t="inlineStr">
        <is>
          <t>Amazon</t>
        </is>
      </c>
      <c r="J73" s="2" t="inlineStr">
        <is>
          <t>Amazon</t>
        </is>
      </c>
      <c r="K73" s="4" t="n">
        <v>10.45</v>
      </c>
      <c r="L73" s="4">
        <f>IF($E73="구매",$K73,0)</f>
        <v/>
      </c>
      <c r="M73" s="4">
        <f>IF($E73="환불/크레딧",$K73,0)</f>
        <v/>
      </c>
      <c r="N73" s="4">
        <f>IF($E73="결제",$K73,0)</f>
        <v/>
      </c>
      <c r="O73" s="4">
        <f>$K73</f>
        <v/>
      </c>
      <c r="P73" s="2" t="inlineStr">
        <is>
          <t>2026-05</t>
        </is>
      </c>
      <c r="Q73" s="2" t="inlineStr">
        <is>
          <t>69212C10-1B95-4A05-9104-379BBA52768F-list_d242.pdf</t>
        </is>
      </c>
      <c r="R73" s="2" t="inlineStr"/>
      <c r="S73" s="2" t="inlineStr"/>
      <c r="T73" s="2" t="inlineStr"/>
      <c r="U73" s="2" t="inlineStr"/>
    </row>
    <row r="74">
      <c r="A74" s="2" t="inlineStr">
        <is>
          <t>20260519-0064</t>
        </is>
      </c>
      <c r="B74" s="8" t="n">
        <v>46161</v>
      </c>
      <c r="C74" s="8" t="n"/>
      <c r="D74" s="2" t="inlineStr">
        <is>
          <t>Prime Visa (Chase) ****6217</t>
        </is>
      </c>
      <c r="E74" s="2" t="inlineStr">
        <is>
          <t>구매</t>
        </is>
      </c>
      <c r="F74" s="2" t="inlineStr">
        <is>
          <t>Amazon.com*G664H3SK3 Amzn.com/bill WA</t>
        </is>
      </c>
      <c r="G74" s="2" t="inlineStr">
        <is>
          <t>Amazon</t>
        </is>
      </c>
      <c r="H74" s="2" t="inlineStr">
        <is>
          <t>온라인쇼핑</t>
        </is>
      </c>
      <c r="I74" s="2" t="inlineStr">
        <is>
          <t>Amazon</t>
        </is>
      </c>
      <c r="J74" s="2" t="inlineStr">
        <is>
          <t>Amazon</t>
        </is>
      </c>
      <c r="K74" s="4" t="n">
        <v>6.99</v>
      </c>
      <c r="L74" s="4">
        <f>IF($E74="구매",$K74,0)</f>
        <v/>
      </c>
      <c r="M74" s="4">
        <f>IF($E74="환불/크레딧",$K74,0)</f>
        <v/>
      </c>
      <c r="N74" s="4">
        <f>IF($E74="결제",$K74,0)</f>
        <v/>
      </c>
      <c r="O74" s="4">
        <f>$K74</f>
        <v/>
      </c>
      <c r="P74" s="2" t="inlineStr">
        <is>
          <t>2026-05</t>
        </is>
      </c>
      <c r="Q74" s="2" t="inlineStr">
        <is>
          <t>69212C10-1B95-4A05-9104-379BBA52768F-list_d242.pdf</t>
        </is>
      </c>
      <c r="R74" s="2" t="inlineStr"/>
      <c r="S74" s="2" t="inlineStr"/>
      <c r="T74" s="2" t="inlineStr"/>
      <c r="U74" s="2" t="inlineStr"/>
    </row>
    <row r="75">
      <c r="A75" s="2" t="inlineStr">
        <is>
          <t>20260520-0065</t>
        </is>
      </c>
      <c r="B75" s="8" t="n">
        <v>46162</v>
      </c>
      <c r="C75" s="8" t="n"/>
      <c r="D75" s="2" t="inlineStr">
        <is>
          <t>Costco Anywhere Visa (Citi) ****6858</t>
        </is>
      </c>
      <c r="E75" s="2" t="inlineStr">
        <is>
          <t>결제</t>
        </is>
      </c>
      <c r="F75" s="2" t="inlineStr">
        <is>
          <t>ONLINE PAYMENT, THANK YOU</t>
        </is>
      </c>
      <c r="G75" s="2" t="inlineStr">
        <is>
          <t>Card Payment</t>
        </is>
      </c>
      <c r="H75" s="2" t="inlineStr">
        <is>
          <t>결제/이체</t>
        </is>
      </c>
      <c r="I75" s="2" t="inlineStr">
        <is>
          <t>카드대금 결제</t>
        </is>
      </c>
      <c r="J75" s="2" t="inlineStr">
        <is>
          <t>카드결제</t>
        </is>
      </c>
      <c r="K75" s="4" t="n">
        <v>-718.39</v>
      </c>
      <c r="L75" s="4">
        <f>IF($E75="구매",$K75,0)</f>
        <v/>
      </c>
      <c r="M75" s="4">
        <f>IF($E75="환불/크레딧",$K75,0)</f>
        <v/>
      </c>
      <c r="N75" s="4">
        <f>IF($E75="결제",$K75,0)</f>
        <v/>
      </c>
      <c r="O75" s="4">
        <f>$K75</f>
        <v/>
      </c>
      <c r="P75" s="2" t="inlineStr">
        <is>
          <t>2026-06</t>
        </is>
      </c>
      <c r="Q75" s="2" t="inlineStr">
        <is>
          <t>June2026_4656.pdf</t>
        </is>
      </c>
      <c r="R75" s="2" t="inlineStr"/>
      <c r="S75" s="2" t="inlineStr"/>
      <c r="T75" s="2" t="inlineStr"/>
      <c r="U75" s="2" t="inlineStr"/>
    </row>
    <row r="76">
      <c r="A76" s="2" t="inlineStr">
        <is>
          <t>20260522-0066</t>
        </is>
      </c>
      <c r="B76" s="8" t="n">
        <v>46164</v>
      </c>
      <c r="C76" s="8" t="n"/>
      <c r="D76" s="2" t="inlineStr">
        <is>
          <t>Prime Visa (Chase) ****6217</t>
        </is>
      </c>
      <c r="E76" s="2" t="inlineStr">
        <is>
          <t>구매</t>
        </is>
      </c>
      <c r="F76" s="2" t="inlineStr">
        <is>
          <t>Amazon.com*6C6U95K13 Amzn.com/bill WA</t>
        </is>
      </c>
      <c r="G76" s="2" t="inlineStr">
        <is>
          <t>Amazon</t>
        </is>
      </c>
      <c r="H76" s="2" t="inlineStr">
        <is>
          <t>온라인쇼핑</t>
        </is>
      </c>
      <c r="I76" s="2" t="inlineStr">
        <is>
          <t>Amazon</t>
        </is>
      </c>
      <c r="J76" s="2" t="inlineStr">
        <is>
          <t>Amazon</t>
        </is>
      </c>
      <c r="K76" s="4" t="n">
        <v>14.99</v>
      </c>
      <c r="L76" s="4">
        <f>IF($E76="구매",$K76,0)</f>
        <v/>
      </c>
      <c r="M76" s="4">
        <f>IF($E76="환불/크레딧",$K76,0)</f>
        <v/>
      </c>
      <c r="N76" s="4">
        <f>IF($E76="결제",$K76,0)</f>
        <v/>
      </c>
      <c r="O76" s="4">
        <f>$K76</f>
        <v/>
      </c>
      <c r="P76" s="2" t="inlineStr">
        <is>
          <t>2026-05</t>
        </is>
      </c>
      <c r="Q76" s="2" t="inlineStr">
        <is>
          <t>69212C10-1B95-4A05-9104-379BBA52768F-list_d242.pdf</t>
        </is>
      </c>
      <c r="R76" s="2" t="inlineStr"/>
      <c r="S76" s="2" t="inlineStr"/>
      <c r="T76" s="2" t="inlineStr"/>
      <c r="U76" s="2" t="inlineStr"/>
    </row>
    <row r="77">
      <c r="A77" s="2" t="inlineStr">
        <is>
          <t>20260523-0067</t>
        </is>
      </c>
      <c r="B77" s="8" t="n">
        <v>46165</v>
      </c>
      <c r="C77" s="8" t="n">
        <v>46165</v>
      </c>
      <c r="D77" s="2" t="inlineStr">
        <is>
          <t>Costco Anywhere Visa (Citi) ****6858</t>
        </is>
      </c>
      <c r="E77" s="2" t="inlineStr">
        <is>
          <t>구매</t>
        </is>
      </c>
      <c r="F77" s="2" t="inlineStr">
        <is>
          <t>COSTCO GAS #0484 OREM UT</t>
        </is>
      </c>
      <c r="G77" s="2" t="inlineStr">
        <is>
          <t>Costco Gas</t>
        </is>
      </c>
      <c r="H77" s="2" t="inlineStr">
        <is>
          <t>교통/주유</t>
        </is>
      </c>
      <c r="I77" s="2" t="inlineStr">
        <is>
          <t>주유</t>
        </is>
      </c>
      <c r="J77" s="2" t="inlineStr">
        <is>
          <t>Costco Gas</t>
        </is>
      </c>
      <c r="K77" s="4" t="n">
        <v>55.74</v>
      </c>
      <c r="L77" s="4">
        <f>IF($E77="구매",$K77,0)</f>
        <v/>
      </c>
      <c r="M77" s="4">
        <f>IF($E77="환불/크레딧",$K77,0)</f>
        <v/>
      </c>
      <c r="N77" s="4">
        <f>IF($E77="결제",$K77,0)</f>
        <v/>
      </c>
      <c r="O77" s="4">
        <f>$K77</f>
        <v/>
      </c>
      <c r="P77" s="2" t="inlineStr">
        <is>
          <t>2026-06</t>
        </is>
      </c>
      <c r="Q77" s="2" t="inlineStr">
        <is>
          <t>June2026_4656.pdf</t>
        </is>
      </c>
      <c r="R77" s="2" t="inlineStr"/>
      <c r="S77" s="2" t="inlineStr"/>
      <c r="T77" s="2" t="inlineStr"/>
      <c r="U77" s="2" t="inlineStr"/>
    </row>
    <row r="78">
      <c r="A78" s="2" t="inlineStr">
        <is>
          <t>20260523-0068</t>
        </is>
      </c>
      <c r="B78" s="8" t="n">
        <v>46165</v>
      </c>
      <c r="C78" s="8" t="n">
        <v>46165</v>
      </c>
      <c r="D78" s="2" t="inlineStr">
        <is>
          <t>Costco Anywhere Visa (Citi) ****6858</t>
        </is>
      </c>
      <c r="E78" s="2" t="inlineStr">
        <is>
          <t>구매</t>
        </is>
      </c>
      <c r="F78" s="2" t="inlineStr">
        <is>
          <t>COSTCO WHSE #0484 OREM UT</t>
        </is>
      </c>
      <c r="G78" s="2" t="inlineStr">
        <is>
          <t>Costco Warehouse</t>
        </is>
      </c>
      <c r="H78" s="2" t="inlineStr">
        <is>
          <t>식료품/생활용품</t>
        </is>
      </c>
      <c r="I78" s="2" t="inlineStr">
        <is>
          <t>Costco 매장</t>
        </is>
      </c>
      <c r="J78" s="2" t="inlineStr">
        <is>
          <t>Costco 매장</t>
        </is>
      </c>
      <c r="K78" s="4" t="n">
        <v>2.16</v>
      </c>
      <c r="L78" s="4">
        <f>IF($E78="구매",$K78,0)</f>
        <v/>
      </c>
      <c r="M78" s="4">
        <f>IF($E78="환불/크레딧",$K78,0)</f>
        <v/>
      </c>
      <c r="N78" s="4">
        <f>IF($E78="결제",$K78,0)</f>
        <v/>
      </c>
      <c r="O78" s="4">
        <f>$K78</f>
        <v/>
      </c>
      <c r="P78" s="2" t="inlineStr">
        <is>
          <t>2026-06</t>
        </is>
      </c>
      <c r="Q78" s="2" t="inlineStr">
        <is>
          <t>June2026_4656.pdf</t>
        </is>
      </c>
      <c r="R78" s="2" t="inlineStr"/>
      <c r="S78" s="2" t="inlineStr"/>
      <c r="T78" s="2" t="inlineStr"/>
      <c r="U78" s="2" t="inlineStr"/>
    </row>
    <row r="79">
      <c r="A79" s="2" t="inlineStr">
        <is>
          <t>20260523-0069</t>
        </is>
      </c>
      <c r="B79" s="8" t="n">
        <v>46165</v>
      </c>
      <c r="C79" s="8" t="n"/>
      <c r="D79" s="2" t="inlineStr">
        <is>
          <t>Prime Visa (Chase) ****6217</t>
        </is>
      </c>
      <c r="E79" s="2" t="inlineStr">
        <is>
          <t>환불/크레딧</t>
        </is>
      </c>
      <c r="F79" s="2" t="inlineStr">
        <is>
          <t>AMAZON MKTPLACE PMTS Amzn.com/bill WA</t>
        </is>
      </c>
      <c r="G79" s="2" t="inlineStr">
        <is>
          <t>Amazon</t>
        </is>
      </c>
      <c r="H79" s="2" t="inlineStr">
        <is>
          <t>환불/크레딧</t>
        </is>
      </c>
      <c r="I79" s="2" t="inlineStr">
        <is>
          <t>환불/반품</t>
        </is>
      </c>
      <c r="J79" s="2" t="inlineStr">
        <is>
          <t>Amazon 환불</t>
        </is>
      </c>
      <c r="K79" s="4" t="n">
        <v>-43.59</v>
      </c>
      <c r="L79" s="4">
        <f>IF($E79="구매",$K79,0)</f>
        <v/>
      </c>
      <c r="M79" s="4">
        <f>IF($E79="환불/크레딧",$K79,0)</f>
        <v/>
      </c>
      <c r="N79" s="4">
        <f>IF($E79="결제",$K79,0)</f>
        <v/>
      </c>
      <c r="O79" s="4">
        <f>$K79</f>
        <v/>
      </c>
      <c r="P79" s="2" t="inlineStr">
        <is>
          <t>2026-05</t>
        </is>
      </c>
      <c r="Q79" s="2" t="inlineStr">
        <is>
          <t>69212C10-1B95-4A05-9104-379BBA52768F-list_d242.pdf</t>
        </is>
      </c>
      <c r="R79" s="2" t="inlineStr"/>
      <c r="S79" s="2" t="inlineStr"/>
      <c r="T79" s="2" t="inlineStr"/>
      <c r="U79" s="2" t="inlineStr"/>
    </row>
    <row r="80">
      <c r="A80" s="2" t="inlineStr">
        <is>
          <t>20260523-0070</t>
        </is>
      </c>
      <c r="B80" s="8" t="n">
        <v>46165</v>
      </c>
      <c r="C80" s="8" t="n"/>
      <c r="D80" s="2" t="inlineStr">
        <is>
          <t>Prime Visa (Chase) ****6217</t>
        </is>
      </c>
      <c r="E80" s="2" t="inlineStr">
        <is>
          <t>환불/크레딧</t>
        </is>
      </c>
      <c r="F80" s="2" t="inlineStr">
        <is>
          <t>AMAZON MKTPLACE PMTS Amzn.com/bill WA</t>
        </is>
      </c>
      <c r="G80" s="2" t="inlineStr">
        <is>
          <t>Amazon</t>
        </is>
      </c>
      <c r="H80" s="2" t="inlineStr">
        <is>
          <t>환불/크레딧</t>
        </is>
      </c>
      <c r="I80" s="2" t="inlineStr">
        <is>
          <t>환불/반품</t>
        </is>
      </c>
      <c r="J80" s="2" t="inlineStr">
        <is>
          <t>Amazon 환불</t>
        </is>
      </c>
      <c r="K80" s="4" t="n">
        <v>-12.35</v>
      </c>
      <c r="L80" s="4">
        <f>IF($E80="구매",$K80,0)</f>
        <v/>
      </c>
      <c r="M80" s="4">
        <f>IF($E80="환불/크레딧",$K80,0)</f>
        <v/>
      </c>
      <c r="N80" s="4">
        <f>IF($E80="결제",$K80,0)</f>
        <v/>
      </c>
      <c r="O80" s="4">
        <f>$K80</f>
        <v/>
      </c>
      <c r="P80" s="2" t="inlineStr">
        <is>
          <t>2026-05</t>
        </is>
      </c>
      <c r="Q80" s="2" t="inlineStr">
        <is>
          <t>69212C10-1B95-4A05-9104-379BBA52768F-list_d242.pdf</t>
        </is>
      </c>
      <c r="R80" s="2" t="inlineStr"/>
      <c r="S80" s="2" t="inlineStr"/>
      <c r="T80" s="2" t="inlineStr"/>
      <c r="U80" s="2" t="inlineStr"/>
    </row>
    <row r="81">
      <c r="A81" s="2" t="inlineStr">
        <is>
          <t>20260523-0071</t>
        </is>
      </c>
      <c r="B81" s="8" t="n">
        <v>46165</v>
      </c>
      <c r="C81" s="8" t="n"/>
      <c r="D81" s="2" t="inlineStr">
        <is>
          <t>Prime Visa (Chase) ****6217</t>
        </is>
      </c>
      <c r="E81" s="2" t="inlineStr">
        <is>
          <t>환불/크레딧</t>
        </is>
      </c>
      <c r="F81" s="2" t="inlineStr">
        <is>
          <t>AMAZON MKTPLACE PMTS Amzn.com/bill WA</t>
        </is>
      </c>
      <c r="G81" s="2" t="inlineStr">
        <is>
          <t>Amazon</t>
        </is>
      </c>
      <c r="H81" s="2" t="inlineStr">
        <is>
          <t>환불/크레딧</t>
        </is>
      </c>
      <c r="I81" s="2" t="inlineStr">
        <is>
          <t>환불/반품</t>
        </is>
      </c>
      <c r="J81" s="2" t="inlineStr">
        <is>
          <t>Amazon 환불</t>
        </is>
      </c>
      <c r="K81" s="4" t="n">
        <v>-6.94</v>
      </c>
      <c r="L81" s="4">
        <f>IF($E81="구매",$K81,0)</f>
        <v/>
      </c>
      <c r="M81" s="4">
        <f>IF($E81="환불/크레딧",$K81,0)</f>
        <v/>
      </c>
      <c r="N81" s="4">
        <f>IF($E81="결제",$K81,0)</f>
        <v/>
      </c>
      <c r="O81" s="4">
        <f>$K81</f>
        <v/>
      </c>
      <c r="P81" s="2" t="inlineStr">
        <is>
          <t>2026-05</t>
        </is>
      </c>
      <c r="Q81" s="2" t="inlineStr">
        <is>
          <t>69212C10-1B95-4A05-9104-379BBA52768F-list_d242.pdf</t>
        </is>
      </c>
      <c r="R81" s="2" t="inlineStr"/>
      <c r="S81" s="2" t="inlineStr"/>
      <c r="T81" s="2" t="inlineStr"/>
      <c r="U81" s="2" t="inlineStr"/>
    </row>
    <row r="82">
      <c r="A82" s="2" t="inlineStr">
        <is>
          <t>20260524-0072</t>
        </is>
      </c>
      <c r="B82" s="8" t="n">
        <v>46166</v>
      </c>
      <c r="C82" s="8" t="n"/>
      <c r="D82" s="2" t="inlineStr">
        <is>
          <t>Prime Visa (Chase) ****6217</t>
        </is>
      </c>
      <c r="E82" s="2" t="inlineStr">
        <is>
          <t>구매</t>
        </is>
      </c>
      <c r="F82" s="2" t="inlineStr">
        <is>
          <t>AMAZON MKTPL*LE8NV2TZ3 Amzn.com/bill WA</t>
        </is>
      </c>
      <c r="G82" s="2" t="inlineStr">
        <is>
          <t>Amazon</t>
        </is>
      </c>
      <c r="H82" s="2" t="inlineStr">
        <is>
          <t>온라인쇼핑</t>
        </is>
      </c>
      <c r="I82" s="2" t="inlineStr">
        <is>
          <t>Amazon</t>
        </is>
      </c>
      <c r="J82" s="2" t="inlineStr">
        <is>
          <t>Amazon</t>
        </is>
      </c>
      <c r="K82" s="4" t="n">
        <v>17.33</v>
      </c>
      <c r="L82" s="4">
        <f>IF($E82="구매",$K82,0)</f>
        <v/>
      </c>
      <c r="M82" s="4">
        <f>IF($E82="환불/크레딧",$K82,0)</f>
        <v/>
      </c>
      <c r="N82" s="4">
        <f>IF($E82="결제",$K82,0)</f>
        <v/>
      </c>
      <c r="O82" s="4">
        <f>$K82</f>
        <v/>
      </c>
      <c r="P82" s="2" t="inlineStr">
        <is>
          <t>2026-05</t>
        </is>
      </c>
      <c r="Q82" s="2" t="inlineStr">
        <is>
          <t>69212C10-1B95-4A05-9104-379BBA52768F-list_d242.pdf</t>
        </is>
      </c>
      <c r="R82" s="2" t="inlineStr"/>
      <c r="S82" s="2" t="inlineStr"/>
      <c r="T82" s="2" t="inlineStr"/>
      <c r="U82" s="2" t="inlineStr"/>
    </row>
    <row r="83">
      <c r="A83" s="2" t="inlineStr">
        <is>
          <t>20260524-0073</t>
        </is>
      </c>
      <c r="B83" s="8" t="n">
        <v>46166</v>
      </c>
      <c r="C83" s="8" t="n"/>
      <c r="D83" s="2" t="inlineStr">
        <is>
          <t>Prime Visa (Chase) ****6217</t>
        </is>
      </c>
      <c r="E83" s="2" t="inlineStr">
        <is>
          <t>구매</t>
        </is>
      </c>
      <c r="F83" s="2" t="inlineStr">
        <is>
          <t>AMAZON MKTPL*YZ2086ON3 Amzn.com/bill WA</t>
        </is>
      </c>
      <c r="G83" s="2" t="inlineStr">
        <is>
          <t>Amazon</t>
        </is>
      </c>
      <c r="H83" s="2" t="inlineStr">
        <is>
          <t>온라인쇼핑</t>
        </is>
      </c>
      <c r="I83" s="2" t="inlineStr">
        <is>
          <t>Amazon</t>
        </is>
      </c>
      <c r="J83" s="2" t="inlineStr">
        <is>
          <t>Amazon</t>
        </is>
      </c>
      <c r="K83" s="4" t="n">
        <v>5.36</v>
      </c>
      <c r="L83" s="4">
        <f>IF($E83="구매",$K83,0)</f>
        <v/>
      </c>
      <c r="M83" s="4">
        <f>IF($E83="환불/크레딧",$K83,0)</f>
        <v/>
      </c>
      <c r="N83" s="4">
        <f>IF($E83="결제",$K83,0)</f>
        <v/>
      </c>
      <c r="O83" s="4">
        <f>$K83</f>
        <v/>
      </c>
      <c r="P83" s="2" t="inlineStr">
        <is>
          <t>2026-05</t>
        </is>
      </c>
      <c r="Q83" s="2" t="inlineStr">
        <is>
          <t>69212C10-1B95-4A05-9104-379BBA52768F-list_d242.pdf</t>
        </is>
      </c>
      <c r="R83" s="2" t="inlineStr"/>
      <c r="S83" s="2" t="inlineStr"/>
      <c r="T83" s="2" t="inlineStr"/>
      <c r="U83" s="2" t="inlineStr"/>
    </row>
    <row r="84">
      <c r="A84" s="2" t="inlineStr">
        <is>
          <t>20260527-0074</t>
        </is>
      </c>
      <c r="B84" s="8" t="n">
        <v>46169</v>
      </c>
      <c r="C84" s="8" t="n"/>
      <c r="D84" s="2" t="inlineStr">
        <is>
          <t>Prime Visa (Chase) ****6217</t>
        </is>
      </c>
      <c r="E84" s="2" t="inlineStr">
        <is>
          <t>구매</t>
        </is>
      </c>
      <c r="F84" s="2" t="inlineStr">
        <is>
          <t>AMAZON MKTPL*R09299H43 Amzn.com/bill WA</t>
        </is>
      </c>
      <c r="G84" s="2" t="inlineStr">
        <is>
          <t>Amazon</t>
        </is>
      </c>
      <c r="H84" s="2" t="inlineStr">
        <is>
          <t>온라인쇼핑</t>
        </is>
      </c>
      <c r="I84" s="2" t="inlineStr">
        <is>
          <t>Amazon</t>
        </is>
      </c>
      <c r="J84" s="2" t="inlineStr">
        <is>
          <t>Amazon</t>
        </is>
      </c>
      <c r="K84" s="4" t="n">
        <v>26.85</v>
      </c>
      <c r="L84" s="4">
        <f>IF($E84="구매",$K84,0)</f>
        <v/>
      </c>
      <c r="M84" s="4">
        <f>IF($E84="환불/크레딧",$K84,0)</f>
        <v/>
      </c>
      <c r="N84" s="4">
        <f>IF($E84="결제",$K84,0)</f>
        <v/>
      </c>
      <c r="O84" s="4">
        <f>$K84</f>
        <v/>
      </c>
      <c r="P84" s="2" t="inlineStr">
        <is>
          <t>2026-05</t>
        </is>
      </c>
      <c r="Q84" s="2" t="inlineStr">
        <is>
          <t>69212C10-1B95-4A05-9104-379BBA52768F-list_d242.pdf</t>
        </is>
      </c>
      <c r="R84" s="2" t="inlineStr"/>
      <c r="S84" s="2" t="inlineStr"/>
      <c r="T84" s="2" t="inlineStr"/>
      <c r="U84" s="2" t="inlineStr"/>
    </row>
    <row r="85">
      <c r="A85" s="2" t="inlineStr">
        <is>
          <t>20260527-0075</t>
        </is>
      </c>
      <c r="B85" s="8" t="n">
        <v>46169</v>
      </c>
      <c r="C85" s="8" t="n"/>
      <c r="D85" s="2" t="inlineStr">
        <is>
          <t>Prime Visa (Chase) ****6217</t>
        </is>
      </c>
      <c r="E85" s="2" t="inlineStr">
        <is>
          <t>구매</t>
        </is>
      </c>
      <c r="F85" s="2" t="inlineStr">
        <is>
          <t>Amazon.com*K37W61RF3 Amzn.com/bill WA</t>
        </is>
      </c>
      <c r="G85" s="2" t="inlineStr">
        <is>
          <t>Amazon</t>
        </is>
      </c>
      <c r="H85" s="2" t="inlineStr">
        <is>
          <t>온라인쇼핑</t>
        </is>
      </c>
      <c r="I85" s="2" t="inlineStr">
        <is>
          <t>Amazon</t>
        </is>
      </c>
      <c r="J85" s="2" t="inlineStr">
        <is>
          <t>Amazon</t>
        </is>
      </c>
      <c r="K85" s="4" t="n">
        <v>6.38</v>
      </c>
      <c r="L85" s="4">
        <f>IF($E85="구매",$K85,0)</f>
        <v/>
      </c>
      <c r="M85" s="4">
        <f>IF($E85="환불/크레딧",$K85,0)</f>
        <v/>
      </c>
      <c r="N85" s="4">
        <f>IF($E85="결제",$K85,0)</f>
        <v/>
      </c>
      <c r="O85" s="4">
        <f>$K85</f>
        <v/>
      </c>
      <c r="P85" s="2" t="inlineStr">
        <is>
          <t>2026-05</t>
        </is>
      </c>
      <c r="Q85" s="2" t="inlineStr">
        <is>
          <t>69212C10-1B95-4A05-9104-379BBA52768F-list_d242.pdf</t>
        </is>
      </c>
      <c r="R85" s="2" t="inlineStr"/>
      <c r="S85" s="2" t="inlineStr"/>
      <c r="T85" s="2" t="inlineStr"/>
      <c r="U85" s="2" t="inlineStr"/>
    </row>
    <row r="86">
      <c r="A86" s="2" t="inlineStr">
        <is>
          <t>20260527-0076</t>
        </is>
      </c>
      <c r="B86" s="8" t="n">
        <v>46169</v>
      </c>
      <c r="C86" s="8" t="n"/>
      <c r="D86" s="2" t="inlineStr">
        <is>
          <t>Prime Visa (Chase) ****6217</t>
        </is>
      </c>
      <c r="E86" s="2" t="inlineStr">
        <is>
          <t>구매</t>
        </is>
      </c>
      <c r="F86" s="2" t="inlineStr">
        <is>
          <t>Amazon.com*L40T27973 Amzn.com/bill WA</t>
        </is>
      </c>
      <c r="G86" s="2" t="inlineStr">
        <is>
          <t>Amazon</t>
        </is>
      </c>
      <c r="H86" s="2" t="inlineStr">
        <is>
          <t>온라인쇼핑</t>
        </is>
      </c>
      <c r="I86" s="2" t="inlineStr">
        <is>
          <t>Amazon</t>
        </is>
      </c>
      <c r="J86" s="2" t="inlineStr">
        <is>
          <t>Amazon</t>
        </is>
      </c>
      <c r="K86" s="4" t="n">
        <v>22.07</v>
      </c>
      <c r="L86" s="4">
        <f>IF($E86="구매",$K86,0)</f>
        <v/>
      </c>
      <c r="M86" s="4">
        <f>IF($E86="환불/크레딧",$K86,0)</f>
        <v/>
      </c>
      <c r="N86" s="4">
        <f>IF($E86="결제",$K86,0)</f>
        <v/>
      </c>
      <c r="O86" s="4">
        <f>$K86</f>
        <v/>
      </c>
      <c r="P86" s="2" t="inlineStr">
        <is>
          <t>2026-05</t>
        </is>
      </c>
      <c r="Q86" s="2" t="inlineStr">
        <is>
          <t>69212C10-1B95-4A05-9104-379BBA52768F-list_d242.pdf</t>
        </is>
      </c>
      <c r="R86" s="2" t="inlineStr"/>
      <c r="S86" s="2" t="inlineStr"/>
      <c r="T86" s="2" t="inlineStr"/>
      <c r="U86" s="2" t="inlineStr"/>
    </row>
  </sheetData>
  <autoFilter ref="A10:U86"/>
  <conditionalFormatting sqref="U11:U86">
    <cfRule type="cellIs" priority="1" operator="equal" dxfId="0">
      <formula>"확인"</formula>
    </cfRule>
  </conditionalFormatting>
  <dataValidations count="3">
    <dataValidation sqref="R11:R86" showDropDown="0" showInputMessage="0" showErrorMessage="0" allowBlank="1" type="list">
      <formula1>'분류목록'!$A$2:$A$9</formula1>
    </dataValidation>
    <dataValidation sqref="S11:S86" showDropDown="0" showInputMessage="0" showErrorMessage="0" allowBlank="1" type="list">
      <formula1>'분류목록'!$B$2:$B$10</formula1>
    </dataValidation>
    <dataValidation sqref="E11:E86" showDropDown="0" showInputMessage="0" showErrorMessage="0" allowBlank="0" type="list">
      <formula1>"구매,환불/크레딧,결제"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2" customWidth="1" min="4" max="4"/>
    <col width="14" customWidth="1" min="5" max="5"/>
    <col width="46" customWidth="1" min="6" max="6"/>
    <col width="24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5" customWidth="1" min="13" max="13"/>
    <col width="15" customWidth="1" min="14" max="14"/>
    <col width="13" customWidth="1" min="15" max="15"/>
    <col width="13" customWidth="1" min="16" max="16"/>
    <col width="42" customWidth="1" min="17" max="17"/>
    <col width="18" customWidth="1" min="18" max="18"/>
    <col width="18" customWidth="1" min="19" max="19"/>
    <col width="32" customWidth="1" min="20" max="20"/>
    <col width="12" customWidth="1" min="21" max="21"/>
  </cols>
  <sheetData>
    <row r="1">
      <c r="A1" s="7" t="inlineStr">
        <is>
          <t>2026년 1월 카드 사용내역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구매 지출 합계</t>
        </is>
      </c>
      <c r="B3" s="4">
        <f>SUM(L11:L20)</f>
        <v/>
      </c>
      <c r="C3" s="2" t="n"/>
      <c r="D3" s="2" t="inlineStr">
        <is>
          <t>편집 안내</t>
        </is>
      </c>
      <c r="E3" s="2" t="inlineStr">
        <is>
          <t>사용자_대분류/사용자_세부분류/사용자_메모 열은 직접 수정용입니다. 원본 분류는 비교를 위해 보존했습니다.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환불/크레딧 합계</t>
        </is>
      </c>
      <c r="B4" s="4">
        <f>SUM(M11:M20)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카드대금 결제 합계</t>
        </is>
      </c>
      <c r="B5" s="4">
        <f>SUM(N11:N20)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순액</t>
        </is>
      </c>
      <c r="B6" s="4">
        <f>SUM(O11:O20)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거래 수</t>
        </is>
      </c>
      <c r="B7" s="2" t="n">
        <v>10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3" t="inlineStr">
        <is>
          <t>ID</t>
        </is>
      </c>
      <c r="B10" s="3" t="inlineStr">
        <is>
          <t>사용일</t>
        </is>
      </c>
      <c r="C10" s="3" t="inlineStr">
        <is>
          <t>전기일</t>
        </is>
      </c>
      <c r="D10" s="3" t="inlineStr">
        <is>
          <t>카드</t>
        </is>
      </c>
      <c r="E10" s="3" t="inlineStr">
        <is>
          <t>거래유형</t>
        </is>
      </c>
      <c r="F10" s="3" t="inlineStr">
        <is>
          <t>상점/원본설명</t>
        </is>
      </c>
      <c r="G10" s="3" t="inlineStr">
        <is>
          <t>표준상점</t>
        </is>
      </c>
      <c r="H10" s="3" t="inlineStr">
        <is>
          <t>원본_대분류</t>
        </is>
      </c>
      <c r="I10" s="3" t="inlineStr">
        <is>
          <t>원본_세부분류</t>
        </is>
      </c>
      <c r="J10" s="3" t="inlineStr">
        <is>
          <t>상세태그</t>
        </is>
      </c>
      <c r="K10" s="3" t="inlineStr">
        <is>
          <t>원본금액</t>
        </is>
      </c>
      <c r="L10" s="3" t="inlineStr">
        <is>
          <t>지출금액</t>
        </is>
      </c>
      <c r="M10" s="3" t="inlineStr">
        <is>
          <t>환불/크레딧</t>
        </is>
      </c>
      <c r="N10" s="3" t="inlineStr">
        <is>
          <t>결제금액</t>
        </is>
      </c>
      <c r="O10" s="3" t="inlineStr">
        <is>
          <t>순액</t>
        </is>
      </c>
      <c r="P10" s="3" t="inlineStr">
        <is>
          <t>명세서월</t>
        </is>
      </c>
      <c r="Q10" s="3" t="inlineStr">
        <is>
          <t>원본파일</t>
        </is>
      </c>
      <c r="R10" s="3" t="inlineStr">
        <is>
          <t>사용자_대분류</t>
        </is>
      </c>
      <c r="S10" s="3" t="inlineStr">
        <is>
          <t>사용자_세부분류</t>
        </is>
      </c>
      <c r="T10" s="3" t="inlineStr">
        <is>
          <t>사용자_메모</t>
        </is>
      </c>
      <c r="U10" s="3" t="inlineStr">
        <is>
          <t>검토필요</t>
        </is>
      </c>
    </row>
    <row r="11">
      <c r="A11" s="2" t="inlineStr">
        <is>
          <t>20260101-0001</t>
        </is>
      </c>
      <c r="B11" s="8" t="n">
        <v>46023</v>
      </c>
      <c r="C11" s="8" t="n"/>
      <c r="D11" s="2" t="inlineStr">
        <is>
          <t>Costco Anywhere Visa (Citi) ****6858</t>
        </is>
      </c>
      <c r="E11" s="2" t="inlineStr">
        <is>
          <t>결제</t>
        </is>
      </c>
      <c r="F11" s="2" t="inlineStr">
        <is>
          <t>AUTOPAY 240208110646284RAUTOPAY AUTO-PMT</t>
        </is>
      </c>
      <c r="G11" s="2" t="inlineStr">
        <is>
          <t>Card Payment</t>
        </is>
      </c>
      <c r="H11" s="2" t="inlineStr">
        <is>
          <t>결제/이체</t>
        </is>
      </c>
      <c r="I11" s="2" t="inlineStr">
        <is>
          <t>카드대금 결제</t>
        </is>
      </c>
      <c r="J11" s="2" t="inlineStr">
        <is>
          <t>카드결제</t>
        </is>
      </c>
      <c r="K11" s="4" t="n">
        <v>-130.92</v>
      </c>
      <c r="L11" s="4">
        <f>IF($E11="구매",$K11,0)</f>
        <v/>
      </c>
      <c r="M11" s="4">
        <f>IF($E11="환불/크레딧",$K11,0)</f>
        <v/>
      </c>
      <c r="N11" s="4">
        <f>IF($E11="결제",$K11,0)</f>
        <v/>
      </c>
      <c r="O11" s="4">
        <f>$K11</f>
        <v/>
      </c>
      <c r="P11" s="2" t="inlineStr">
        <is>
          <t>2026-01</t>
        </is>
      </c>
      <c r="Q11" s="2" t="inlineStr">
        <is>
          <t>January2026_f0b0.pdf</t>
        </is>
      </c>
      <c r="R11" s="2" t="inlineStr"/>
      <c r="S11" s="2" t="inlineStr"/>
      <c r="T11" s="2" t="inlineStr"/>
      <c r="U11" s="2" t="inlineStr"/>
    </row>
    <row r="12">
      <c r="A12" s="2" t="inlineStr">
        <is>
          <t>20260101-0002</t>
        </is>
      </c>
      <c r="B12" s="8" t="n">
        <v>46023</v>
      </c>
      <c r="C12" s="8" t="n"/>
      <c r="D12" s="2" t="inlineStr">
        <is>
          <t>Costco Anywhere Visa (Citi) ****6858</t>
        </is>
      </c>
      <c r="E12" s="2" t="inlineStr">
        <is>
          <t>결제</t>
        </is>
      </c>
      <c r="F12" s="2" t="inlineStr">
        <is>
          <t>ONLINE PAYMENT, THANK YOU</t>
        </is>
      </c>
      <c r="G12" s="2" t="inlineStr">
        <is>
          <t>Card Payment</t>
        </is>
      </c>
      <c r="H12" s="2" t="inlineStr">
        <is>
          <t>결제/이체</t>
        </is>
      </c>
      <c r="I12" s="2" t="inlineStr">
        <is>
          <t>카드대금 결제</t>
        </is>
      </c>
      <c r="J12" s="2" t="inlineStr">
        <is>
          <t>카드결제</t>
        </is>
      </c>
      <c r="K12" s="4" t="n">
        <v>-275.23</v>
      </c>
      <c r="L12" s="4">
        <f>IF($E12="구매",$K12,0)</f>
        <v/>
      </c>
      <c r="M12" s="4">
        <f>IF($E12="환불/크레딧",$K12,0)</f>
        <v/>
      </c>
      <c r="N12" s="4">
        <f>IF($E12="결제",$K12,0)</f>
        <v/>
      </c>
      <c r="O12" s="4">
        <f>$K12</f>
        <v/>
      </c>
      <c r="P12" s="2" t="inlineStr">
        <is>
          <t>2026-01</t>
        </is>
      </c>
      <c r="Q12" s="2" t="inlineStr">
        <is>
          <t>January2026_f0b0.pdf</t>
        </is>
      </c>
      <c r="R12" s="2" t="inlineStr"/>
      <c r="S12" s="2" t="inlineStr"/>
      <c r="T12" s="2" t="inlineStr"/>
      <c r="U12" s="2" t="inlineStr"/>
    </row>
    <row r="13">
      <c r="A13" s="2" t="inlineStr">
        <is>
          <t>20260105-0003</t>
        </is>
      </c>
      <c r="B13" s="8" t="n">
        <v>46027</v>
      </c>
      <c r="C13" s="8" t="n">
        <v>46028</v>
      </c>
      <c r="D13" s="2" t="inlineStr">
        <is>
          <t>Costco Anywhere Visa (Citi) ****6858</t>
        </is>
      </c>
      <c r="E13" s="2" t="inlineStr">
        <is>
          <t>구매</t>
        </is>
      </c>
      <c r="F13" s="2" t="inlineStr">
        <is>
          <t>COSTCO WHSE #0484 OREM UT</t>
        </is>
      </c>
      <c r="G13" s="2" t="inlineStr">
        <is>
          <t>Costco Warehouse</t>
        </is>
      </c>
      <c r="H13" s="2" t="inlineStr">
        <is>
          <t>식료품/생활용품</t>
        </is>
      </c>
      <c r="I13" s="2" t="inlineStr">
        <is>
          <t>Costco 매장</t>
        </is>
      </c>
      <c r="J13" s="2" t="inlineStr">
        <is>
          <t>Costco 매장</t>
        </is>
      </c>
      <c r="K13" s="4" t="n">
        <v>122.94</v>
      </c>
      <c r="L13" s="4">
        <f>IF($E13="구매",$K13,0)</f>
        <v/>
      </c>
      <c r="M13" s="4">
        <f>IF($E13="환불/크레딧",$K13,0)</f>
        <v/>
      </c>
      <c r="N13" s="4">
        <f>IF($E13="결제",$K13,0)</f>
        <v/>
      </c>
      <c r="O13" s="4">
        <f>$K13</f>
        <v/>
      </c>
      <c r="P13" s="2" t="inlineStr">
        <is>
          <t>2026-01</t>
        </is>
      </c>
      <c r="Q13" s="2" t="inlineStr">
        <is>
          <t>January2026_f0b0.pdf</t>
        </is>
      </c>
      <c r="R13" s="2" t="inlineStr"/>
      <c r="S13" s="2" t="inlineStr"/>
      <c r="T13" s="2" t="inlineStr"/>
      <c r="U13" s="2" t="inlineStr"/>
    </row>
    <row r="14">
      <c r="A14" s="2" t="inlineStr">
        <is>
          <t>20260108-0004</t>
        </is>
      </c>
      <c r="B14" s="8" t="n">
        <v>46030</v>
      </c>
      <c r="C14" s="8" t="n">
        <v>46030</v>
      </c>
      <c r="D14" s="2" t="inlineStr">
        <is>
          <t>Costco Anywhere Visa (Citi) ****6858</t>
        </is>
      </c>
      <c r="E14" s="2" t="inlineStr">
        <is>
          <t>구매</t>
        </is>
      </c>
      <c r="F14" s="2" t="inlineStr">
        <is>
          <t>WWW COSTCO COM 800-955-2292 WA</t>
        </is>
      </c>
      <c r="G14" s="2" t="inlineStr">
        <is>
          <t>Costco Online</t>
        </is>
      </c>
      <c r="H14" s="2" t="inlineStr">
        <is>
          <t>온라인쇼핑</t>
        </is>
      </c>
      <c r="I14" s="2" t="inlineStr">
        <is>
          <t>Costco 온라인</t>
        </is>
      </c>
      <c r="J14" s="2" t="inlineStr">
        <is>
          <t>Costco 온라인</t>
        </is>
      </c>
      <c r="K14" s="4" t="n">
        <v>32.21</v>
      </c>
      <c r="L14" s="4">
        <f>IF($E14="구매",$K14,0)</f>
        <v/>
      </c>
      <c r="M14" s="4">
        <f>IF($E14="환불/크레딧",$K14,0)</f>
        <v/>
      </c>
      <c r="N14" s="4">
        <f>IF($E14="결제",$K14,0)</f>
        <v/>
      </c>
      <c r="O14" s="4">
        <f>$K14</f>
        <v/>
      </c>
      <c r="P14" s="2" t="inlineStr">
        <is>
          <t>2026-02</t>
        </is>
      </c>
      <c r="Q14" s="2" t="inlineStr">
        <is>
          <t>February2026_f8d6.pdf</t>
        </is>
      </c>
      <c r="R14" s="2" t="inlineStr"/>
      <c r="S14" s="2" t="inlineStr"/>
      <c r="T14" s="2" t="inlineStr"/>
      <c r="U14" s="2" t="inlineStr"/>
    </row>
    <row r="15">
      <c r="A15" s="2" t="inlineStr">
        <is>
          <t>20260108-0005</t>
        </is>
      </c>
      <c r="B15" s="8" t="n">
        <v>46030</v>
      </c>
      <c r="C15" s="8" t="n">
        <v>46030</v>
      </c>
      <c r="D15" s="2" t="inlineStr">
        <is>
          <t>Costco Anywhere Visa (Citi) ****6858</t>
        </is>
      </c>
      <c r="E15" s="2" t="inlineStr">
        <is>
          <t>구매</t>
        </is>
      </c>
      <c r="F15" s="2" t="inlineStr">
        <is>
          <t>WWW COSTCO COM 800-955-2292 WA</t>
        </is>
      </c>
      <c r="G15" s="2" t="inlineStr">
        <is>
          <t>Costco Online</t>
        </is>
      </c>
      <c r="H15" s="2" t="inlineStr">
        <is>
          <t>온라인쇼핑</t>
        </is>
      </c>
      <c r="I15" s="2" t="inlineStr">
        <is>
          <t>Costco 온라인</t>
        </is>
      </c>
      <c r="J15" s="2" t="inlineStr">
        <is>
          <t>Costco 온라인</t>
        </is>
      </c>
      <c r="K15" s="4" t="n">
        <v>32.21</v>
      </c>
      <c r="L15" s="4">
        <f>IF($E15="구매",$K15,0)</f>
        <v/>
      </c>
      <c r="M15" s="4">
        <f>IF($E15="환불/크레딧",$K15,0)</f>
        <v/>
      </c>
      <c r="N15" s="4">
        <f>IF($E15="결제",$K15,0)</f>
        <v/>
      </c>
      <c r="O15" s="4">
        <f>$K15</f>
        <v/>
      </c>
      <c r="P15" s="2" t="inlineStr">
        <is>
          <t>2026-02</t>
        </is>
      </c>
      <c r="Q15" s="2" t="inlineStr">
        <is>
          <t>February2026_f8d6.pdf</t>
        </is>
      </c>
      <c r="R15" s="2" t="inlineStr"/>
      <c r="S15" s="2" t="inlineStr"/>
      <c r="T15" s="2" t="inlineStr"/>
      <c r="U15" s="2" t="inlineStr"/>
    </row>
    <row r="16">
      <c r="A16" s="2" t="inlineStr">
        <is>
          <t>20260112-0006</t>
        </is>
      </c>
      <c r="B16" s="8" t="n">
        <v>46034</v>
      </c>
      <c r="C16" s="8" t="n">
        <v>46034</v>
      </c>
      <c r="D16" s="2" t="inlineStr">
        <is>
          <t>Costco Anywhere Visa (Citi) ****6858</t>
        </is>
      </c>
      <c r="E16" s="2" t="inlineStr">
        <is>
          <t>구매</t>
        </is>
      </c>
      <c r="F16" s="2" t="inlineStr">
        <is>
          <t>COSTCO GAS #0484 OREM UT</t>
        </is>
      </c>
      <c r="G16" s="2" t="inlineStr">
        <is>
          <t>Costco Gas</t>
        </is>
      </c>
      <c r="H16" s="2" t="inlineStr">
        <is>
          <t>교통/주유</t>
        </is>
      </c>
      <c r="I16" s="2" t="inlineStr">
        <is>
          <t>주유</t>
        </is>
      </c>
      <c r="J16" s="2" t="inlineStr">
        <is>
          <t>Costco Gas</t>
        </is>
      </c>
      <c r="K16" s="4" t="n">
        <v>29.57</v>
      </c>
      <c r="L16" s="4">
        <f>IF($E16="구매",$K16,0)</f>
        <v/>
      </c>
      <c r="M16" s="4">
        <f>IF($E16="환불/크레딧",$K16,0)</f>
        <v/>
      </c>
      <c r="N16" s="4">
        <f>IF($E16="결제",$K16,0)</f>
        <v/>
      </c>
      <c r="O16" s="4">
        <f>$K16</f>
        <v/>
      </c>
      <c r="P16" s="2" t="inlineStr">
        <is>
          <t>2026-02</t>
        </is>
      </c>
      <c r="Q16" s="2" t="inlineStr">
        <is>
          <t>February2026_f8d6.pdf</t>
        </is>
      </c>
      <c r="R16" s="2" t="inlineStr"/>
      <c r="S16" s="2" t="inlineStr"/>
      <c r="T16" s="2" t="inlineStr"/>
      <c r="U16" s="2" t="inlineStr"/>
    </row>
    <row r="17">
      <c r="A17" s="2" t="inlineStr">
        <is>
          <t>20260112-0007</t>
        </is>
      </c>
      <c r="B17" s="8" t="n">
        <v>46034</v>
      </c>
      <c r="C17" s="8" t="n">
        <v>46034</v>
      </c>
      <c r="D17" s="2" t="inlineStr">
        <is>
          <t>Costco Anywhere Visa (Citi) ****6858</t>
        </is>
      </c>
      <c r="E17" s="2" t="inlineStr">
        <is>
          <t>구매</t>
        </is>
      </c>
      <c r="F17" s="2" t="inlineStr">
        <is>
          <t>COSTCO WHSE #0484 OREM UT</t>
        </is>
      </c>
      <c r="G17" s="2" t="inlineStr">
        <is>
          <t>Costco Warehouse</t>
        </is>
      </c>
      <c r="H17" s="2" t="inlineStr">
        <is>
          <t>식료품/생활용품</t>
        </is>
      </c>
      <c r="I17" s="2" t="inlineStr">
        <is>
          <t>Costco 매장</t>
        </is>
      </c>
      <c r="J17" s="2" t="inlineStr">
        <is>
          <t>Costco 매장</t>
        </is>
      </c>
      <c r="K17" s="4" t="n">
        <v>16.25</v>
      </c>
      <c r="L17" s="4">
        <f>IF($E17="구매",$K17,0)</f>
        <v/>
      </c>
      <c r="M17" s="4">
        <f>IF($E17="환불/크레딧",$K17,0)</f>
        <v/>
      </c>
      <c r="N17" s="4">
        <f>IF($E17="결제",$K17,0)</f>
        <v/>
      </c>
      <c r="O17" s="4">
        <f>$K17</f>
        <v/>
      </c>
      <c r="P17" s="2" t="inlineStr">
        <is>
          <t>2026-02</t>
        </is>
      </c>
      <c r="Q17" s="2" t="inlineStr">
        <is>
          <t>February2026_f8d6.pdf</t>
        </is>
      </c>
      <c r="R17" s="2" t="inlineStr"/>
      <c r="S17" s="2" t="inlineStr"/>
      <c r="T17" s="2" t="inlineStr"/>
      <c r="U17" s="2" t="inlineStr"/>
    </row>
    <row r="18">
      <c r="A18" s="2" t="inlineStr">
        <is>
          <t>20260124-0008</t>
        </is>
      </c>
      <c r="B18" s="8" t="n">
        <v>46046</v>
      </c>
      <c r="C18" s="8" t="n">
        <v>46046</v>
      </c>
      <c r="D18" s="2" t="inlineStr">
        <is>
          <t>Costco Anywhere Visa (Citi) ****6858</t>
        </is>
      </c>
      <c r="E18" s="2" t="inlineStr">
        <is>
          <t>구매</t>
        </is>
      </c>
      <c r="F18" s="2" t="inlineStr">
        <is>
          <t>COSTCO WHSE #0484 OREM UT</t>
        </is>
      </c>
      <c r="G18" s="2" t="inlineStr">
        <is>
          <t>Costco Warehouse</t>
        </is>
      </c>
      <c r="H18" s="2" t="inlineStr">
        <is>
          <t>식료품/생활용품</t>
        </is>
      </c>
      <c r="I18" s="2" t="inlineStr">
        <is>
          <t>Costco 매장</t>
        </is>
      </c>
      <c r="J18" s="2" t="inlineStr">
        <is>
          <t>Costco 매장</t>
        </is>
      </c>
      <c r="K18" s="4" t="n">
        <v>60.11</v>
      </c>
      <c r="L18" s="4">
        <f>IF($E18="구매",$K18,0)</f>
        <v/>
      </c>
      <c r="M18" s="4">
        <f>IF($E18="환불/크레딧",$K18,0)</f>
        <v/>
      </c>
      <c r="N18" s="4">
        <f>IF($E18="결제",$K18,0)</f>
        <v/>
      </c>
      <c r="O18" s="4">
        <f>$K18</f>
        <v/>
      </c>
      <c r="P18" s="2" t="inlineStr">
        <is>
          <t>2026-02</t>
        </is>
      </c>
      <c r="Q18" s="2" t="inlineStr">
        <is>
          <t>February2026_f8d6.pdf</t>
        </is>
      </c>
      <c r="R18" s="2" t="inlineStr"/>
      <c r="S18" s="2" t="inlineStr"/>
      <c r="T18" s="2" t="inlineStr"/>
      <c r="U18" s="2" t="inlineStr"/>
    </row>
    <row r="19">
      <c r="A19" s="2" t="inlineStr">
        <is>
          <t>20260127-0009</t>
        </is>
      </c>
      <c r="B19" s="8" t="n">
        <v>46049</v>
      </c>
      <c r="C19" s="8" t="n"/>
      <c r="D19" s="2" t="inlineStr">
        <is>
          <t>Costco Anywhere Visa (Citi) ****6858</t>
        </is>
      </c>
      <c r="E19" s="2" t="inlineStr">
        <is>
          <t>결제</t>
        </is>
      </c>
      <c r="F19" s="2" t="inlineStr">
        <is>
          <t>ONLINE PAYMENT, THANK YOU</t>
        </is>
      </c>
      <c r="G19" s="2" t="inlineStr">
        <is>
          <t>Card Payment</t>
        </is>
      </c>
      <c r="H19" s="2" t="inlineStr">
        <is>
          <t>결제/이체</t>
        </is>
      </c>
      <c r="I19" s="2" t="inlineStr">
        <is>
          <t>카드대금 결제</t>
        </is>
      </c>
      <c r="J19" s="2" t="inlineStr">
        <is>
          <t>카드결제</t>
        </is>
      </c>
      <c r="K19" s="4" t="n">
        <v>-162.37</v>
      </c>
      <c r="L19" s="4">
        <f>IF($E19="구매",$K19,0)</f>
        <v/>
      </c>
      <c r="M19" s="4">
        <f>IF($E19="환불/크레딧",$K19,0)</f>
        <v/>
      </c>
      <c r="N19" s="4">
        <f>IF($E19="결제",$K19,0)</f>
        <v/>
      </c>
      <c r="O19" s="4">
        <f>$K19</f>
        <v/>
      </c>
      <c r="P19" s="2" t="inlineStr">
        <is>
          <t>2026-02</t>
        </is>
      </c>
      <c r="Q19" s="2" t="inlineStr">
        <is>
          <t>February2026_f8d6.pdf</t>
        </is>
      </c>
      <c r="R19" s="2" t="inlineStr"/>
      <c r="S19" s="2" t="inlineStr"/>
      <c r="T19" s="2" t="inlineStr"/>
      <c r="U19" s="2" t="inlineStr"/>
    </row>
    <row r="20">
      <c r="A20" s="2" t="inlineStr">
        <is>
          <t>20260130-0010</t>
        </is>
      </c>
      <c r="B20" s="8" t="n">
        <v>46052</v>
      </c>
      <c r="C20" s="8" t="n">
        <v>46052</v>
      </c>
      <c r="D20" s="2" t="inlineStr">
        <is>
          <t>Costco Anywhere Visa (Citi) ****6858</t>
        </is>
      </c>
      <c r="E20" s="2" t="inlineStr">
        <is>
          <t>구매</t>
        </is>
      </c>
      <c r="F20" s="2" t="inlineStr">
        <is>
          <t>COSTCO GAS #0484 OREM UT</t>
        </is>
      </c>
      <c r="G20" s="2" t="inlineStr">
        <is>
          <t>Costco Gas</t>
        </is>
      </c>
      <c r="H20" s="2" t="inlineStr">
        <is>
          <t>교통/주유</t>
        </is>
      </c>
      <c r="I20" s="2" t="inlineStr">
        <is>
          <t>주유</t>
        </is>
      </c>
      <c r="J20" s="2" t="inlineStr">
        <is>
          <t>Costco Gas</t>
        </is>
      </c>
      <c r="K20" s="4" t="n">
        <v>33.6</v>
      </c>
      <c r="L20" s="4">
        <f>IF($E20="구매",$K20,0)</f>
        <v/>
      </c>
      <c r="M20" s="4">
        <f>IF($E20="환불/크레딧",$K20,0)</f>
        <v/>
      </c>
      <c r="N20" s="4">
        <f>IF($E20="결제",$K20,0)</f>
        <v/>
      </c>
      <c r="O20" s="4">
        <f>$K20</f>
        <v/>
      </c>
      <c r="P20" s="2" t="inlineStr">
        <is>
          <t>2026-02</t>
        </is>
      </c>
      <c r="Q20" s="2" t="inlineStr">
        <is>
          <t>February2026_f8d6.pdf</t>
        </is>
      </c>
      <c r="R20" s="2" t="inlineStr"/>
      <c r="S20" s="2" t="inlineStr"/>
      <c r="T20" s="2" t="inlineStr"/>
      <c r="U20" s="2" t="inlineStr"/>
    </row>
  </sheetData>
  <autoFilter ref="A10:U20"/>
  <conditionalFormatting sqref="U11:U20">
    <cfRule type="cellIs" priority="1" operator="equal" dxfId="0">
      <formula>"확인"</formula>
    </cfRule>
  </conditionalFormatting>
  <dataValidations count="3">
    <dataValidation sqref="R11:R20" showDropDown="0" showInputMessage="0" showErrorMessage="0" allowBlank="1" type="list">
      <formula1>'분류목록'!$A$2:$A$9</formula1>
    </dataValidation>
    <dataValidation sqref="S11:S20" showDropDown="0" showInputMessage="0" showErrorMessage="0" allowBlank="1" type="list">
      <formula1>'분류목록'!$B$2:$B$10</formula1>
    </dataValidation>
    <dataValidation sqref="E11:E20" showDropDown="0" showInputMessage="0" showErrorMessage="0" allowBlank="0" type="list">
      <formula1>"구매,환불/크레딧,결제"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2" customWidth="1" min="4" max="4"/>
    <col width="14" customWidth="1" min="5" max="5"/>
    <col width="46" customWidth="1" min="6" max="6"/>
    <col width="24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5" customWidth="1" min="13" max="13"/>
    <col width="15" customWidth="1" min="14" max="14"/>
    <col width="13" customWidth="1" min="15" max="15"/>
    <col width="13" customWidth="1" min="16" max="16"/>
    <col width="42" customWidth="1" min="17" max="17"/>
    <col width="18" customWidth="1" min="18" max="18"/>
    <col width="18" customWidth="1" min="19" max="19"/>
    <col width="32" customWidth="1" min="20" max="20"/>
    <col width="12" customWidth="1" min="21" max="21"/>
  </cols>
  <sheetData>
    <row r="1">
      <c r="A1" s="7" t="inlineStr">
        <is>
          <t>2026년 2월 카드 사용내역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구매 지출 합계</t>
        </is>
      </c>
      <c r="B3" s="4">
        <f>SUM(L11:L18)</f>
        <v/>
      </c>
      <c r="C3" s="2" t="n"/>
      <c r="D3" s="2" t="inlineStr">
        <is>
          <t>편집 안내</t>
        </is>
      </c>
      <c r="E3" s="2" t="inlineStr">
        <is>
          <t>사용자_대분류/사용자_세부분류/사용자_메모 열은 직접 수정용입니다. 원본 분류는 비교를 위해 보존했습니다.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환불/크레딧 합계</t>
        </is>
      </c>
      <c r="B4" s="4">
        <f>SUM(M11:M18)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카드대금 결제 합계</t>
        </is>
      </c>
      <c r="B5" s="4">
        <f>SUM(N11:N18)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순액</t>
        </is>
      </c>
      <c r="B6" s="4">
        <f>SUM(O11:O18)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거래 수</t>
        </is>
      </c>
      <c r="B7" s="2" t="n">
        <v>8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3" t="inlineStr">
        <is>
          <t>ID</t>
        </is>
      </c>
      <c r="B10" s="3" t="inlineStr">
        <is>
          <t>사용일</t>
        </is>
      </c>
      <c r="C10" s="3" t="inlineStr">
        <is>
          <t>전기일</t>
        </is>
      </c>
      <c r="D10" s="3" t="inlineStr">
        <is>
          <t>카드</t>
        </is>
      </c>
      <c r="E10" s="3" t="inlineStr">
        <is>
          <t>거래유형</t>
        </is>
      </c>
      <c r="F10" s="3" t="inlineStr">
        <is>
          <t>상점/원본설명</t>
        </is>
      </c>
      <c r="G10" s="3" t="inlineStr">
        <is>
          <t>표준상점</t>
        </is>
      </c>
      <c r="H10" s="3" t="inlineStr">
        <is>
          <t>원본_대분류</t>
        </is>
      </c>
      <c r="I10" s="3" t="inlineStr">
        <is>
          <t>원본_세부분류</t>
        </is>
      </c>
      <c r="J10" s="3" t="inlineStr">
        <is>
          <t>상세태그</t>
        </is>
      </c>
      <c r="K10" s="3" t="inlineStr">
        <is>
          <t>원본금액</t>
        </is>
      </c>
      <c r="L10" s="3" t="inlineStr">
        <is>
          <t>지출금액</t>
        </is>
      </c>
      <c r="M10" s="3" t="inlineStr">
        <is>
          <t>환불/크레딧</t>
        </is>
      </c>
      <c r="N10" s="3" t="inlineStr">
        <is>
          <t>결제금액</t>
        </is>
      </c>
      <c r="O10" s="3" t="inlineStr">
        <is>
          <t>순액</t>
        </is>
      </c>
      <c r="P10" s="3" t="inlineStr">
        <is>
          <t>명세서월</t>
        </is>
      </c>
      <c r="Q10" s="3" t="inlineStr">
        <is>
          <t>원본파일</t>
        </is>
      </c>
      <c r="R10" s="3" t="inlineStr">
        <is>
          <t>사용자_대분류</t>
        </is>
      </c>
      <c r="S10" s="3" t="inlineStr">
        <is>
          <t>사용자_세부분류</t>
        </is>
      </c>
      <c r="T10" s="3" t="inlineStr">
        <is>
          <t>사용자_메모</t>
        </is>
      </c>
      <c r="U10" s="3" t="inlineStr">
        <is>
          <t>검토필요</t>
        </is>
      </c>
    </row>
    <row r="11">
      <c r="A11" s="2" t="inlineStr">
        <is>
          <t>20260210-0001</t>
        </is>
      </c>
      <c r="B11" s="8" t="n">
        <v>46063</v>
      </c>
      <c r="C11" s="8" t="n">
        <v>46063</v>
      </c>
      <c r="D11" s="2" t="inlineStr">
        <is>
          <t>Costco Anywhere Visa (Citi) ****6858</t>
        </is>
      </c>
      <c r="E11" s="2" t="inlineStr">
        <is>
          <t>구매</t>
        </is>
      </c>
      <c r="F11" s="2" t="inlineStr">
        <is>
          <t>COSTCO WHSE #0484 OREM UT</t>
        </is>
      </c>
      <c r="G11" s="2" t="inlineStr">
        <is>
          <t>Costco Warehouse</t>
        </is>
      </c>
      <c r="H11" s="2" t="inlineStr">
        <is>
          <t>식료품/생활용품</t>
        </is>
      </c>
      <c r="I11" s="2" t="inlineStr">
        <is>
          <t>Costco 매장</t>
        </is>
      </c>
      <c r="J11" s="2" t="inlineStr">
        <is>
          <t>Costco 매장</t>
        </is>
      </c>
      <c r="K11" s="4" t="n">
        <v>62.16</v>
      </c>
      <c r="L11" s="4">
        <f>IF($E11="구매",$K11,0)</f>
        <v/>
      </c>
      <c r="M11" s="4">
        <f>IF($E11="환불/크레딧",$K11,0)</f>
        <v/>
      </c>
      <c r="N11" s="4">
        <f>IF($E11="결제",$K11,0)</f>
        <v/>
      </c>
      <c r="O11" s="4">
        <f>$K11</f>
        <v/>
      </c>
      <c r="P11" s="2" t="inlineStr">
        <is>
          <t>2026-03</t>
        </is>
      </c>
      <c r="Q11" s="2" t="inlineStr">
        <is>
          <t>March2026_da89.pdf</t>
        </is>
      </c>
      <c r="R11" s="2" t="inlineStr"/>
      <c r="S11" s="2" t="inlineStr"/>
      <c r="T11" s="2" t="inlineStr"/>
      <c r="U11" s="2" t="inlineStr"/>
    </row>
    <row r="12">
      <c r="A12" s="2" t="inlineStr">
        <is>
          <t>20260211-0002</t>
        </is>
      </c>
      <c r="B12" s="8" t="n">
        <v>46064</v>
      </c>
      <c r="C12" s="8" t="n"/>
      <c r="D12" s="2" t="inlineStr">
        <is>
          <t>Prime Visa (Chase) ****6217</t>
        </is>
      </c>
      <c r="E12" s="2" t="inlineStr">
        <is>
          <t>구매</t>
        </is>
      </c>
      <c r="F12" s="2" t="inlineStr">
        <is>
          <t>AMAZON MKTPL*FL11A1493 Amzn.com/bill WA</t>
        </is>
      </c>
      <c r="G12" s="2" t="inlineStr">
        <is>
          <t>Amazon</t>
        </is>
      </c>
      <c r="H12" s="2" t="inlineStr">
        <is>
          <t>온라인쇼핑</t>
        </is>
      </c>
      <c r="I12" s="2" t="inlineStr">
        <is>
          <t>Amazon</t>
        </is>
      </c>
      <c r="J12" s="2" t="inlineStr">
        <is>
          <t>Amazon</t>
        </is>
      </c>
      <c r="K12" s="4" t="n">
        <v>0.53</v>
      </c>
      <c r="L12" s="4">
        <f>IF($E12="구매",$K12,0)</f>
        <v/>
      </c>
      <c r="M12" s="4">
        <f>IF($E12="환불/크레딧",$K12,0)</f>
        <v/>
      </c>
      <c r="N12" s="4">
        <f>IF($E12="결제",$K12,0)</f>
        <v/>
      </c>
      <c r="O12" s="4">
        <f>$K12</f>
        <v/>
      </c>
      <c r="P12" s="2" t="inlineStr">
        <is>
          <t>2026-02</t>
        </is>
      </c>
      <c r="Q12" s="2" t="inlineStr">
        <is>
          <t>B3CDA793-1958-4FE0-A464-444F7501BD7F-list_3284.pdf</t>
        </is>
      </c>
      <c r="R12" s="2" t="inlineStr"/>
      <c r="S12" s="2" t="inlineStr"/>
      <c r="T12" s="2" t="inlineStr"/>
      <c r="U12" s="2" t="inlineStr"/>
    </row>
    <row r="13">
      <c r="A13" s="2" t="inlineStr">
        <is>
          <t>20260219-0003</t>
        </is>
      </c>
      <c r="B13" s="8" t="n">
        <v>46072</v>
      </c>
      <c r="C13" s="8" t="n">
        <v>46072</v>
      </c>
      <c r="D13" s="2" t="inlineStr">
        <is>
          <t>Costco Anywhere Visa (Citi) ****6858</t>
        </is>
      </c>
      <c r="E13" s="2" t="inlineStr">
        <is>
          <t>구매</t>
        </is>
      </c>
      <c r="F13" s="2" t="inlineStr">
        <is>
          <t>COSTCO GAS #0484 OREM UT</t>
        </is>
      </c>
      <c r="G13" s="2" t="inlineStr">
        <is>
          <t>Costco Gas</t>
        </is>
      </c>
      <c r="H13" s="2" t="inlineStr">
        <is>
          <t>교통/주유</t>
        </is>
      </c>
      <c r="I13" s="2" t="inlineStr">
        <is>
          <t>주유</t>
        </is>
      </c>
      <c r="J13" s="2" t="inlineStr">
        <is>
          <t>Costco Gas</t>
        </is>
      </c>
      <c r="K13" s="4" t="n">
        <v>27.06</v>
      </c>
      <c r="L13" s="4">
        <f>IF($E13="구매",$K13,0)</f>
        <v/>
      </c>
      <c r="M13" s="4">
        <f>IF($E13="환불/크레딧",$K13,0)</f>
        <v/>
      </c>
      <c r="N13" s="4">
        <f>IF($E13="결제",$K13,0)</f>
        <v/>
      </c>
      <c r="O13" s="4">
        <f>$K13</f>
        <v/>
      </c>
      <c r="P13" s="2" t="inlineStr">
        <is>
          <t>2026-03</t>
        </is>
      </c>
      <c r="Q13" s="2" t="inlineStr">
        <is>
          <t>March2026_da89.pdf</t>
        </is>
      </c>
      <c r="R13" s="2" t="inlineStr"/>
      <c r="S13" s="2" t="inlineStr"/>
      <c r="T13" s="2" t="inlineStr"/>
      <c r="U13" s="2" t="inlineStr"/>
    </row>
    <row r="14">
      <c r="A14" s="2" t="inlineStr">
        <is>
          <t>20260219-0004</t>
        </is>
      </c>
      <c r="B14" s="8" t="n">
        <v>46072</v>
      </c>
      <c r="C14" s="8" t="n">
        <v>46072</v>
      </c>
      <c r="D14" s="2" t="inlineStr">
        <is>
          <t>Costco Anywhere Visa (Citi) ****6858</t>
        </is>
      </c>
      <c r="E14" s="2" t="inlineStr">
        <is>
          <t>구매</t>
        </is>
      </c>
      <c r="F14" s="2" t="inlineStr">
        <is>
          <t>COSTCO WHSE #0484 OREM UT</t>
        </is>
      </c>
      <c r="G14" s="2" t="inlineStr">
        <is>
          <t>Costco Warehouse</t>
        </is>
      </c>
      <c r="H14" s="2" t="inlineStr">
        <is>
          <t>식료품/생활용품</t>
        </is>
      </c>
      <c r="I14" s="2" t="inlineStr">
        <is>
          <t>Costco 매장</t>
        </is>
      </c>
      <c r="J14" s="2" t="inlineStr">
        <is>
          <t>Costco 매장</t>
        </is>
      </c>
      <c r="K14" s="4" t="n">
        <v>257.87</v>
      </c>
      <c r="L14" s="4">
        <f>IF($E14="구매",$K14,0)</f>
        <v/>
      </c>
      <c r="M14" s="4">
        <f>IF($E14="환불/크레딧",$K14,0)</f>
        <v/>
      </c>
      <c r="N14" s="4">
        <f>IF($E14="결제",$K14,0)</f>
        <v/>
      </c>
      <c r="O14" s="4">
        <f>$K14</f>
        <v/>
      </c>
      <c r="P14" s="2" t="inlineStr">
        <is>
          <t>2026-03</t>
        </is>
      </c>
      <c r="Q14" s="2" t="inlineStr">
        <is>
          <t>March2026_da89.pdf</t>
        </is>
      </c>
      <c r="R14" s="2" t="inlineStr"/>
      <c r="S14" s="2" t="inlineStr"/>
      <c r="T14" s="2" t="inlineStr"/>
      <c r="U14" s="2" t="inlineStr"/>
    </row>
    <row r="15">
      <c r="A15" s="2" t="inlineStr">
        <is>
          <t>20260224-0005</t>
        </is>
      </c>
      <c r="B15" s="8" t="n">
        <v>46077</v>
      </c>
      <c r="C15" s="8" t="n">
        <v>46077</v>
      </c>
      <c r="D15" s="2" t="inlineStr">
        <is>
          <t>Costco Anywhere Visa (Citi) ****6858</t>
        </is>
      </c>
      <c r="E15" s="2" t="inlineStr">
        <is>
          <t>구매</t>
        </is>
      </c>
      <c r="F15" s="2" t="inlineStr">
        <is>
          <t>COSTCO WHSE #0484 OREM UT</t>
        </is>
      </c>
      <c r="G15" s="2" t="inlineStr">
        <is>
          <t>Costco Warehouse</t>
        </is>
      </c>
      <c r="H15" s="2" t="inlineStr">
        <is>
          <t>식료품/생활용품</t>
        </is>
      </c>
      <c r="I15" s="2" t="inlineStr">
        <is>
          <t>Costco 매장</t>
        </is>
      </c>
      <c r="J15" s="2" t="inlineStr">
        <is>
          <t>Costco 매장</t>
        </is>
      </c>
      <c r="K15" s="4" t="n">
        <v>12.88</v>
      </c>
      <c r="L15" s="4">
        <f>IF($E15="구매",$K15,0)</f>
        <v/>
      </c>
      <c r="M15" s="4">
        <f>IF($E15="환불/크레딧",$K15,0)</f>
        <v/>
      </c>
      <c r="N15" s="4">
        <f>IF($E15="결제",$K15,0)</f>
        <v/>
      </c>
      <c r="O15" s="4">
        <f>$K15</f>
        <v/>
      </c>
      <c r="P15" s="2" t="inlineStr">
        <is>
          <t>2026-03</t>
        </is>
      </c>
      <c r="Q15" s="2" t="inlineStr">
        <is>
          <t>March2026_da89.pdf</t>
        </is>
      </c>
      <c r="R15" s="2" t="inlineStr"/>
      <c r="S15" s="2" t="inlineStr"/>
      <c r="T15" s="2" t="inlineStr"/>
      <c r="U15" s="2" t="inlineStr"/>
    </row>
    <row r="16">
      <c r="A16" s="2" t="inlineStr">
        <is>
          <t>20260224-0006</t>
        </is>
      </c>
      <c r="B16" s="8" t="n">
        <v>46077</v>
      </c>
      <c r="C16" s="8" t="n"/>
      <c r="D16" s="2" t="inlineStr">
        <is>
          <t>Costco Anywhere Visa (Citi) ****6858</t>
        </is>
      </c>
      <c r="E16" s="2" t="inlineStr">
        <is>
          <t>결제</t>
        </is>
      </c>
      <c r="F16" s="2" t="inlineStr">
        <is>
          <t>ONLINE PAYMENT, THANK YOU</t>
        </is>
      </c>
      <c r="G16" s="2" t="inlineStr">
        <is>
          <t>Card Payment</t>
        </is>
      </c>
      <c r="H16" s="2" t="inlineStr">
        <is>
          <t>결제/이체</t>
        </is>
      </c>
      <c r="I16" s="2" t="inlineStr">
        <is>
          <t>카드대금 결제</t>
        </is>
      </c>
      <c r="J16" s="2" t="inlineStr">
        <is>
          <t>카드결제</t>
        </is>
      </c>
      <c r="K16" s="4" t="n">
        <v>-380.69</v>
      </c>
      <c r="L16" s="4">
        <f>IF($E16="구매",$K16,0)</f>
        <v/>
      </c>
      <c r="M16" s="4">
        <f>IF($E16="환불/크레딧",$K16,0)</f>
        <v/>
      </c>
      <c r="N16" s="4">
        <f>IF($E16="결제",$K16,0)</f>
        <v/>
      </c>
      <c r="O16" s="4">
        <f>$K16</f>
        <v/>
      </c>
      <c r="P16" s="2" t="inlineStr">
        <is>
          <t>2026-03</t>
        </is>
      </c>
      <c r="Q16" s="2" t="inlineStr">
        <is>
          <t>March2026_da89.pdf</t>
        </is>
      </c>
      <c r="R16" s="2" t="inlineStr"/>
      <c r="S16" s="2" t="inlineStr"/>
      <c r="T16" s="2" t="inlineStr"/>
      <c r="U16" s="2" t="inlineStr"/>
    </row>
    <row r="17">
      <c r="A17" s="2" t="inlineStr">
        <is>
          <t>20260227-0007</t>
        </is>
      </c>
      <c r="B17" s="8" t="n">
        <v>46080</v>
      </c>
      <c r="C17" s="8" t="n">
        <v>46080</v>
      </c>
      <c r="D17" s="2" t="inlineStr">
        <is>
          <t>Costco Anywhere Visa (Citi) ****6858</t>
        </is>
      </c>
      <c r="E17" s="2" t="inlineStr">
        <is>
          <t>구매</t>
        </is>
      </c>
      <c r="F17" s="2" t="inlineStr">
        <is>
          <t>COSTCO WHSE #0484 OREM UT</t>
        </is>
      </c>
      <c r="G17" s="2" t="inlineStr">
        <is>
          <t>Costco Warehouse</t>
        </is>
      </c>
      <c r="H17" s="2" t="inlineStr">
        <is>
          <t>식료품/생활용품</t>
        </is>
      </c>
      <c r="I17" s="2" t="inlineStr">
        <is>
          <t>Costco 매장</t>
        </is>
      </c>
      <c r="J17" s="2" t="inlineStr">
        <is>
          <t>Costco 매장</t>
        </is>
      </c>
      <c r="K17" s="4" t="n">
        <v>193.4</v>
      </c>
      <c r="L17" s="4">
        <f>IF($E17="구매",$K17,0)</f>
        <v/>
      </c>
      <c r="M17" s="4">
        <f>IF($E17="환불/크레딧",$K17,0)</f>
        <v/>
      </c>
      <c r="N17" s="4">
        <f>IF($E17="결제",$K17,0)</f>
        <v/>
      </c>
      <c r="O17" s="4">
        <f>$K17</f>
        <v/>
      </c>
      <c r="P17" s="2" t="inlineStr">
        <is>
          <t>2026-03</t>
        </is>
      </c>
      <c r="Q17" s="2" t="inlineStr">
        <is>
          <t>March2026_da89.pdf</t>
        </is>
      </c>
      <c r="R17" s="2" t="inlineStr"/>
      <c r="S17" s="2" t="inlineStr"/>
      <c r="T17" s="2" t="inlineStr"/>
      <c r="U17" s="2" t="inlineStr"/>
    </row>
    <row r="18">
      <c r="A18" s="2" t="inlineStr">
        <is>
          <t>20260228-0008</t>
        </is>
      </c>
      <c r="B18" s="8" t="n">
        <v>46081</v>
      </c>
      <c r="C18" s="8" t="n"/>
      <c r="D18" s="2" t="inlineStr">
        <is>
          <t>Costco Anywhere Visa (Citi) ****6858</t>
        </is>
      </c>
      <c r="E18" s="2" t="inlineStr">
        <is>
          <t>환불/크레딧</t>
        </is>
      </c>
      <c r="F18" s="2" t="inlineStr">
        <is>
          <t>WWW COSTCO COM 800-955-2292 WA</t>
        </is>
      </c>
      <c r="G18" s="2" t="inlineStr">
        <is>
          <t>Costco</t>
        </is>
      </c>
      <c r="H18" s="2" t="inlineStr">
        <is>
          <t>환불/크레딧</t>
        </is>
      </c>
      <c r="I18" s="2" t="inlineStr">
        <is>
          <t>환불/반품</t>
        </is>
      </c>
      <c r="J18" s="2" t="inlineStr">
        <is>
          <t>Costco 환불</t>
        </is>
      </c>
      <c r="K18" s="4" t="n">
        <v>-32.21</v>
      </c>
      <c r="L18" s="4">
        <f>IF($E18="구매",$K18,0)</f>
        <v/>
      </c>
      <c r="M18" s="4">
        <f>IF($E18="환불/크레딧",$K18,0)</f>
        <v/>
      </c>
      <c r="N18" s="4">
        <f>IF($E18="결제",$K18,0)</f>
        <v/>
      </c>
      <c r="O18" s="4">
        <f>$K18</f>
        <v/>
      </c>
      <c r="P18" s="2" t="inlineStr">
        <is>
          <t>2026-03</t>
        </is>
      </c>
      <c r="Q18" s="2" t="inlineStr">
        <is>
          <t>March2026_da89.pdf</t>
        </is>
      </c>
      <c r="R18" s="2" t="inlineStr"/>
      <c r="S18" s="2" t="inlineStr"/>
      <c r="T18" s="2" t="inlineStr"/>
      <c r="U18" s="2" t="inlineStr"/>
    </row>
  </sheetData>
  <autoFilter ref="A10:U18"/>
  <conditionalFormatting sqref="U11:U18">
    <cfRule type="cellIs" priority="1" operator="equal" dxfId="0">
      <formula>"확인"</formula>
    </cfRule>
  </conditionalFormatting>
  <dataValidations count="3">
    <dataValidation sqref="R11:R18" showDropDown="0" showInputMessage="0" showErrorMessage="0" allowBlank="1" type="list">
      <formula1>'분류목록'!$A$2:$A$9</formula1>
    </dataValidation>
    <dataValidation sqref="S11:S18" showDropDown="0" showInputMessage="0" showErrorMessage="0" allowBlank="1" type="list">
      <formula1>'분류목록'!$B$2:$B$10</formula1>
    </dataValidation>
    <dataValidation sqref="E11:E18" showDropDown="0" showInputMessage="0" showErrorMessage="0" allowBlank="0" type="list">
      <formula1>"구매,환불/크레딧,결제"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2" customWidth="1" min="4" max="4"/>
    <col width="14" customWidth="1" min="5" max="5"/>
    <col width="46" customWidth="1" min="6" max="6"/>
    <col width="24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5" customWidth="1" min="13" max="13"/>
    <col width="15" customWidth="1" min="14" max="14"/>
    <col width="13" customWidth="1" min="15" max="15"/>
    <col width="13" customWidth="1" min="16" max="16"/>
    <col width="42" customWidth="1" min="17" max="17"/>
    <col width="18" customWidth="1" min="18" max="18"/>
    <col width="18" customWidth="1" min="19" max="19"/>
    <col width="32" customWidth="1" min="20" max="20"/>
    <col width="12" customWidth="1" min="21" max="21"/>
  </cols>
  <sheetData>
    <row r="1">
      <c r="A1" s="7" t="inlineStr">
        <is>
          <t>2026년 3월 카드 사용내역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구매 지출 합계</t>
        </is>
      </c>
      <c r="B3" s="4">
        <f>SUM(L11:L16)</f>
        <v/>
      </c>
      <c r="C3" s="2" t="n"/>
      <c r="D3" s="2" t="inlineStr">
        <is>
          <t>편집 안내</t>
        </is>
      </c>
      <c r="E3" s="2" t="inlineStr">
        <is>
          <t>사용자_대분류/사용자_세부분류/사용자_메모 열은 직접 수정용입니다. 원본 분류는 비교를 위해 보존했습니다.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환불/크레딧 합계</t>
        </is>
      </c>
      <c r="B4" s="4">
        <f>SUM(M11:M16)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카드대금 결제 합계</t>
        </is>
      </c>
      <c r="B5" s="4">
        <f>SUM(N11:N16)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순액</t>
        </is>
      </c>
      <c r="B6" s="4">
        <f>SUM(O11:O16)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거래 수</t>
        </is>
      </c>
      <c r="B7" s="2" t="n">
        <v>6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3" t="inlineStr">
        <is>
          <t>ID</t>
        </is>
      </c>
      <c r="B10" s="3" t="inlineStr">
        <is>
          <t>사용일</t>
        </is>
      </c>
      <c r="C10" s="3" t="inlineStr">
        <is>
          <t>전기일</t>
        </is>
      </c>
      <c r="D10" s="3" t="inlineStr">
        <is>
          <t>카드</t>
        </is>
      </c>
      <c r="E10" s="3" t="inlineStr">
        <is>
          <t>거래유형</t>
        </is>
      </c>
      <c r="F10" s="3" t="inlineStr">
        <is>
          <t>상점/원본설명</t>
        </is>
      </c>
      <c r="G10" s="3" t="inlineStr">
        <is>
          <t>표준상점</t>
        </is>
      </c>
      <c r="H10" s="3" t="inlineStr">
        <is>
          <t>원본_대분류</t>
        </is>
      </c>
      <c r="I10" s="3" t="inlineStr">
        <is>
          <t>원본_세부분류</t>
        </is>
      </c>
      <c r="J10" s="3" t="inlineStr">
        <is>
          <t>상세태그</t>
        </is>
      </c>
      <c r="K10" s="3" t="inlineStr">
        <is>
          <t>원본금액</t>
        </is>
      </c>
      <c r="L10" s="3" t="inlineStr">
        <is>
          <t>지출금액</t>
        </is>
      </c>
      <c r="M10" s="3" t="inlineStr">
        <is>
          <t>환불/크레딧</t>
        </is>
      </c>
      <c r="N10" s="3" t="inlineStr">
        <is>
          <t>결제금액</t>
        </is>
      </c>
      <c r="O10" s="3" t="inlineStr">
        <is>
          <t>순액</t>
        </is>
      </c>
      <c r="P10" s="3" t="inlineStr">
        <is>
          <t>명세서월</t>
        </is>
      </c>
      <c r="Q10" s="3" t="inlineStr">
        <is>
          <t>원본파일</t>
        </is>
      </c>
      <c r="R10" s="3" t="inlineStr">
        <is>
          <t>사용자_대분류</t>
        </is>
      </c>
      <c r="S10" s="3" t="inlineStr">
        <is>
          <t>사용자_세부분류</t>
        </is>
      </c>
      <c r="T10" s="3" t="inlineStr">
        <is>
          <t>사용자_메모</t>
        </is>
      </c>
      <c r="U10" s="3" t="inlineStr">
        <is>
          <t>검토필요</t>
        </is>
      </c>
    </row>
    <row r="11">
      <c r="A11" s="2" t="inlineStr">
        <is>
          <t>20260303-0001</t>
        </is>
      </c>
      <c r="B11" s="8" t="n">
        <v>46084</v>
      </c>
      <c r="C11" s="8" t="n"/>
      <c r="D11" s="2" t="inlineStr">
        <is>
          <t>Prime Visa (Chase) ****6217</t>
        </is>
      </c>
      <c r="E11" s="2" t="inlineStr">
        <is>
          <t>구매</t>
        </is>
      </c>
      <c r="F11" s="2" t="inlineStr">
        <is>
          <t>AMAZON MKTPL*B99426SF0 Amzn.com/bill WA</t>
        </is>
      </c>
      <c r="G11" s="2" t="inlineStr">
        <is>
          <t>Amazon</t>
        </is>
      </c>
      <c r="H11" s="2" t="inlineStr">
        <is>
          <t>온라인쇼핑</t>
        </is>
      </c>
      <c r="I11" s="2" t="inlineStr">
        <is>
          <t>Amazon</t>
        </is>
      </c>
      <c r="J11" s="2" t="inlineStr">
        <is>
          <t>Amazon</t>
        </is>
      </c>
      <c r="K11" s="4" t="n">
        <v>37.6</v>
      </c>
      <c r="L11" s="4">
        <f>IF($E11="구매",$K11,0)</f>
        <v/>
      </c>
      <c r="M11" s="4">
        <f>IF($E11="환불/크레딧",$K11,0)</f>
        <v/>
      </c>
      <c r="N11" s="4">
        <f>IF($E11="결제",$K11,0)</f>
        <v/>
      </c>
      <c r="O11" s="4">
        <f>$K11</f>
        <v/>
      </c>
      <c r="P11" s="2" t="inlineStr">
        <is>
          <t>2026-03</t>
        </is>
      </c>
      <c r="Q11" s="2" t="inlineStr">
        <is>
          <t>36C0F7B9-D67A-4AE6-9684-B5F848CBA9D5-list_4699.pdf</t>
        </is>
      </c>
      <c r="R11" s="2" t="inlineStr"/>
      <c r="S11" s="2" t="inlineStr"/>
      <c r="T11" s="2" t="inlineStr"/>
      <c r="U11" s="2" t="inlineStr"/>
    </row>
    <row r="12">
      <c r="A12" s="2" t="inlineStr">
        <is>
          <t>20260316-0002</t>
        </is>
      </c>
      <c r="B12" s="8" t="n">
        <v>46097</v>
      </c>
      <c r="C12" s="8" t="n"/>
      <c r="D12" s="2" t="inlineStr">
        <is>
          <t>Costco Anywhere Visa (Citi) ****6858</t>
        </is>
      </c>
      <c r="E12" s="2" t="inlineStr">
        <is>
          <t>결제</t>
        </is>
      </c>
      <c r="F12" s="2" t="inlineStr">
        <is>
          <t>ONLINE PAYMENT, THANK YOU</t>
        </is>
      </c>
      <c r="G12" s="2" t="inlineStr">
        <is>
          <t>Card Payment</t>
        </is>
      </c>
      <c r="H12" s="2" t="inlineStr">
        <is>
          <t>결제/이체</t>
        </is>
      </c>
      <c r="I12" s="2" t="inlineStr">
        <is>
          <t>카드대금 결제</t>
        </is>
      </c>
      <c r="J12" s="2" t="inlineStr">
        <is>
          <t>카드결제</t>
        </is>
      </c>
      <c r="K12" s="4" t="n">
        <v>-174.07</v>
      </c>
      <c r="L12" s="4">
        <f>IF($E12="구매",$K12,0)</f>
        <v/>
      </c>
      <c r="M12" s="4">
        <f>IF($E12="환불/크레딧",$K12,0)</f>
        <v/>
      </c>
      <c r="N12" s="4">
        <f>IF($E12="결제",$K12,0)</f>
        <v/>
      </c>
      <c r="O12" s="4">
        <f>$K12</f>
        <v/>
      </c>
      <c r="P12" s="2" t="inlineStr">
        <is>
          <t>2026-04</t>
        </is>
      </c>
      <c r="Q12" s="2" t="inlineStr">
        <is>
          <t>April2026_4952.pdf</t>
        </is>
      </c>
      <c r="R12" s="2" t="inlineStr"/>
      <c r="S12" s="2" t="inlineStr"/>
      <c r="T12" s="2" t="inlineStr"/>
      <c r="U12" s="2" t="inlineStr"/>
    </row>
    <row r="13">
      <c r="A13" s="2" t="inlineStr">
        <is>
          <t>20260317-0003</t>
        </is>
      </c>
      <c r="B13" s="8" t="n">
        <v>46098</v>
      </c>
      <c r="C13" s="8" t="n">
        <v>46098</v>
      </c>
      <c r="D13" s="2" t="inlineStr">
        <is>
          <t>Costco Anywhere Visa (Citi) ****6858</t>
        </is>
      </c>
      <c r="E13" s="2" t="inlineStr">
        <is>
          <t>구매</t>
        </is>
      </c>
      <c r="F13" s="2" t="inlineStr">
        <is>
          <t>COSTCO GAS #0484 OREM UT</t>
        </is>
      </c>
      <c r="G13" s="2" t="inlineStr">
        <is>
          <t>Costco Gas</t>
        </is>
      </c>
      <c r="H13" s="2" t="inlineStr">
        <is>
          <t>교통/주유</t>
        </is>
      </c>
      <c r="I13" s="2" t="inlineStr">
        <is>
          <t>주유</t>
        </is>
      </c>
      <c r="J13" s="2" t="inlineStr">
        <is>
          <t>Costco Gas</t>
        </is>
      </c>
      <c r="K13" s="4" t="n">
        <v>44.1</v>
      </c>
      <c r="L13" s="4">
        <f>IF($E13="구매",$K13,0)</f>
        <v/>
      </c>
      <c r="M13" s="4">
        <f>IF($E13="환불/크레딧",$K13,0)</f>
        <v/>
      </c>
      <c r="N13" s="4">
        <f>IF($E13="결제",$K13,0)</f>
        <v/>
      </c>
      <c r="O13" s="4">
        <f>$K13</f>
        <v/>
      </c>
      <c r="P13" s="2" t="inlineStr">
        <is>
          <t>2026-04</t>
        </is>
      </c>
      <c r="Q13" s="2" t="inlineStr">
        <is>
          <t>April2026_4952.pdf</t>
        </is>
      </c>
      <c r="R13" s="2" t="inlineStr"/>
      <c r="S13" s="2" t="inlineStr"/>
      <c r="T13" s="2" t="inlineStr"/>
      <c r="U13" s="2" t="inlineStr"/>
    </row>
    <row r="14">
      <c r="A14" s="2" t="inlineStr">
        <is>
          <t>20260317-0004</t>
        </is>
      </c>
      <c r="B14" s="8" t="n">
        <v>46098</v>
      </c>
      <c r="C14" s="8" t="n">
        <v>46098</v>
      </c>
      <c r="D14" s="2" t="inlineStr">
        <is>
          <t>Costco Anywhere Visa (Citi) ****6858</t>
        </is>
      </c>
      <c r="E14" s="2" t="inlineStr">
        <is>
          <t>구매</t>
        </is>
      </c>
      <c r="F14" s="2" t="inlineStr">
        <is>
          <t>COSTCO WHSE #0484 OREM UT</t>
        </is>
      </c>
      <c r="G14" s="2" t="inlineStr">
        <is>
          <t>Costco Warehouse</t>
        </is>
      </c>
      <c r="H14" s="2" t="inlineStr">
        <is>
          <t>식료품/생활용품</t>
        </is>
      </c>
      <c r="I14" s="2" t="inlineStr">
        <is>
          <t>Costco 매장</t>
        </is>
      </c>
      <c r="J14" s="2" t="inlineStr">
        <is>
          <t>Costco 매장</t>
        </is>
      </c>
      <c r="K14" s="4" t="n">
        <v>108.48</v>
      </c>
      <c r="L14" s="4">
        <f>IF($E14="구매",$K14,0)</f>
        <v/>
      </c>
      <c r="M14" s="4">
        <f>IF($E14="환불/크레딧",$K14,0)</f>
        <v/>
      </c>
      <c r="N14" s="4">
        <f>IF($E14="결제",$K14,0)</f>
        <v/>
      </c>
      <c r="O14" s="4">
        <f>$K14</f>
        <v/>
      </c>
      <c r="P14" s="2" t="inlineStr">
        <is>
          <t>2026-04</t>
        </is>
      </c>
      <c r="Q14" s="2" t="inlineStr">
        <is>
          <t>April2026_4952.pdf</t>
        </is>
      </c>
      <c r="R14" s="2" t="inlineStr"/>
      <c r="S14" s="2" t="inlineStr"/>
      <c r="T14" s="2" t="inlineStr"/>
      <c r="U14" s="2" t="inlineStr"/>
    </row>
    <row r="15">
      <c r="A15" s="2" t="inlineStr">
        <is>
          <t>20260325-0005</t>
        </is>
      </c>
      <c r="B15" s="8" t="n">
        <v>46106</v>
      </c>
      <c r="C15" s="8" t="n"/>
      <c r="D15" s="2" t="inlineStr">
        <is>
          <t>Costco Anywhere Visa (Citi) ****6858</t>
        </is>
      </c>
      <c r="E15" s="2" t="inlineStr">
        <is>
          <t>결제</t>
        </is>
      </c>
      <c r="F15" s="2" t="inlineStr">
        <is>
          <t>ONLINE PAYMENT, THANK YOU</t>
        </is>
      </c>
      <c r="G15" s="2" t="inlineStr">
        <is>
          <t>Card Payment</t>
        </is>
      </c>
      <c r="H15" s="2" t="inlineStr">
        <is>
          <t>결제/이체</t>
        </is>
      </c>
      <c r="I15" s="2" t="inlineStr">
        <is>
          <t>카드대금 결제</t>
        </is>
      </c>
      <c r="J15" s="2" t="inlineStr">
        <is>
          <t>카드결제</t>
        </is>
      </c>
      <c r="K15" s="4" t="n">
        <v>-152.58</v>
      </c>
      <c r="L15" s="4">
        <f>IF($E15="구매",$K15,0)</f>
        <v/>
      </c>
      <c r="M15" s="4">
        <f>IF($E15="환불/크레딧",$K15,0)</f>
        <v/>
      </c>
      <c r="N15" s="4">
        <f>IF($E15="결제",$K15,0)</f>
        <v/>
      </c>
      <c r="O15" s="4">
        <f>$K15</f>
        <v/>
      </c>
      <c r="P15" s="2" t="inlineStr">
        <is>
          <t>2026-04</t>
        </is>
      </c>
      <c r="Q15" s="2" t="inlineStr">
        <is>
          <t>April2026_4952.pdf</t>
        </is>
      </c>
      <c r="R15" s="2" t="inlineStr"/>
      <c r="S15" s="2" t="inlineStr"/>
      <c r="T15" s="2" t="inlineStr"/>
      <c r="U15" s="2" t="inlineStr"/>
    </row>
    <row r="16">
      <c r="A16" s="2" t="inlineStr">
        <is>
          <t>20260330-0006</t>
        </is>
      </c>
      <c r="B16" s="8" t="n">
        <v>46111</v>
      </c>
      <c r="C16" s="8" t="n">
        <v>46111</v>
      </c>
      <c r="D16" s="2" t="inlineStr">
        <is>
          <t>Costco Anywhere Visa (Citi) ****6858</t>
        </is>
      </c>
      <c r="E16" s="2" t="inlineStr">
        <is>
          <t>구매</t>
        </is>
      </c>
      <c r="F16" s="2" t="inlineStr">
        <is>
          <t>COSTCO WHSE #0484 OREM UT</t>
        </is>
      </c>
      <c r="G16" s="2" t="inlineStr">
        <is>
          <t>Costco Warehouse</t>
        </is>
      </c>
      <c r="H16" s="2" t="inlineStr">
        <is>
          <t>식료품/생활용품</t>
        </is>
      </c>
      <c r="I16" s="2" t="inlineStr">
        <is>
          <t>Costco 매장</t>
        </is>
      </c>
      <c r="J16" s="2" t="inlineStr">
        <is>
          <t>Costco 매장</t>
        </is>
      </c>
      <c r="K16" s="4" t="n">
        <v>111.46</v>
      </c>
      <c r="L16" s="4">
        <f>IF($E16="구매",$K16,0)</f>
        <v/>
      </c>
      <c r="M16" s="4">
        <f>IF($E16="환불/크레딧",$K16,0)</f>
        <v/>
      </c>
      <c r="N16" s="4">
        <f>IF($E16="결제",$K16,0)</f>
        <v/>
      </c>
      <c r="O16" s="4">
        <f>$K16</f>
        <v/>
      </c>
      <c r="P16" s="2" t="inlineStr">
        <is>
          <t>2026-04</t>
        </is>
      </c>
      <c r="Q16" s="2" t="inlineStr">
        <is>
          <t>April2026_4952.pdf</t>
        </is>
      </c>
      <c r="R16" s="2" t="inlineStr"/>
      <c r="S16" s="2" t="inlineStr"/>
      <c r="T16" s="2" t="inlineStr"/>
      <c r="U16" s="2" t="inlineStr"/>
    </row>
  </sheetData>
  <autoFilter ref="A10:U16"/>
  <conditionalFormatting sqref="U11:U16">
    <cfRule type="cellIs" priority="1" operator="equal" dxfId="0">
      <formula>"확인"</formula>
    </cfRule>
  </conditionalFormatting>
  <dataValidations count="3">
    <dataValidation sqref="R11:R16" showDropDown="0" showInputMessage="0" showErrorMessage="0" allowBlank="1" type="list">
      <formula1>'분류목록'!$A$2:$A$9</formula1>
    </dataValidation>
    <dataValidation sqref="S11:S16" showDropDown="0" showInputMessage="0" showErrorMessage="0" allowBlank="1" type="list">
      <formula1>'분류목록'!$B$2:$B$10</formula1>
    </dataValidation>
    <dataValidation sqref="E11:E16" showDropDown="0" showInputMessage="0" showErrorMessage="0" allowBlank="0" type="list">
      <formula1>"구매,환불/크레딧,결제"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2" customWidth="1" min="4" max="4"/>
    <col width="14" customWidth="1" min="5" max="5"/>
    <col width="46" customWidth="1" min="6" max="6"/>
    <col width="24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5" customWidth="1" min="13" max="13"/>
    <col width="15" customWidth="1" min="14" max="14"/>
    <col width="13" customWidth="1" min="15" max="15"/>
    <col width="13" customWidth="1" min="16" max="16"/>
    <col width="42" customWidth="1" min="17" max="17"/>
    <col width="18" customWidth="1" min="18" max="18"/>
    <col width="18" customWidth="1" min="19" max="19"/>
    <col width="32" customWidth="1" min="20" max="20"/>
    <col width="12" customWidth="1" min="21" max="21"/>
  </cols>
  <sheetData>
    <row r="1">
      <c r="A1" s="7" t="inlineStr">
        <is>
          <t>2026년 4월 카드 사용내역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구매 지출 합계</t>
        </is>
      </c>
      <c r="B3" s="4">
        <f>SUM(L11:L34)</f>
        <v/>
      </c>
      <c r="C3" s="2" t="n"/>
      <c r="D3" s="2" t="inlineStr">
        <is>
          <t>편집 안내</t>
        </is>
      </c>
      <c r="E3" s="2" t="inlineStr">
        <is>
          <t>사용자_대분류/사용자_세부분류/사용자_메모 열은 직접 수정용입니다. 원본 분류는 비교를 위해 보존했습니다.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환불/크레딧 합계</t>
        </is>
      </c>
      <c r="B4" s="4">
        <f>SUM(M11:M34)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카드대금 결제 합계</t>
        </is>
      </c>
      <c r="B5" s="4">
        <f>SUM(N11:N34)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순액</t>
        </is>
      </c>
      <c r="B6" s="4">
        <f>SUM(O11:O34)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거래 수</t>
        </is>
      </c>
      <c r="B7" s="2" t="n">
        <v>24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3" t="inlineStr">
        <is>
          <t>ID</t>
        </is>
      </c>
      <c r="B10" s="3" t="inlineStr">
        <is>
          <t>사용일</t>
        </is>
      </c>
      <c r="C10" s="3" t="inlineStr">
        <is>
          <t>전기일</t>
        </is>
      </c>
      <c r="D10" s="3" t="inlineStr">
        <is>
          <t>카드</t>
        </is>
      </c>
      <c r="E10" s="3" t="inlineStr">
        <is>
          <t>거래유형</t>
        </is>
      </c>
      <c r="F10" s="3" t="inlineStr">
        <is>
          <t>상점/원본설명</t>
        </is>
      </c>
      <c r="G10" s="3" t="inlineStr">
        <is>
          <t>표준상점</t>
        </is>
      </c>
      <c r="H10" s="3" t="inlineStr">
        <is>
          <t>원본_대분류</t>
        </is>
      </c>
      <c r="I10" s="3" t="inlineStr">
        <is>
          <t>원본_세부분류</t>
        </is>
      </c>
      <c r="J10" s="3" t="inlineStr">
        <is>
          <t>상세태그</t>
        </is>
      </c>
      <c r="K10" s="3" t="inlineStr">
        <is>
          <t>원본금액</t>
        </is>
      </c>
      <c r="L10" s="3" t="inlineStr">
        <is>
          <t>지출금액</t>
        </is>
      </c>
      <c r="M10" s="3" t="inlineStr">
        <is>
          <t>환불/크레딧</t>
        </is>
      </c>
      <c r="N10" s="3" t="inlineStr">
        <is>
          <t>결제금액</t>
        </is>
      </c>
      <c r="O10" s="3" t="inlineStr">
        <is>
          <t>순액</t>
        </is>
      </c>
      <c r="P10" s="3" t="inlineStr">
        <is>
          <t>명세서월</t>
        </is>
      </c>
      <c r="Q10" s="3" t="inlineStr">
        <is>
          <t>원본파일</t>
        </is>
      </c>
      <c r="R10" s="3" t="inlineStr">
        <is>
          <t>사용자_대분류</t>
        </is>
      </c>
      <c r="S10" s="3" t="inlineStr">
        <is>
          <t>사용자_세부분류</t>
        </is>
      </c>
      <c r="T10" s="3" t="inlineStr">
        <is>
          <t>사용자_메모</t>
        </is>
      </c>
      <c r="U10" s="3" t="inlineStr">
        <is>
          <t>검토필요</t>
        </is>
      </c>
    </row>
    <row r="11">
      <c r="A11" s="2" t="inlineStr">
        <is>
          <t>20260403-0001</t>
        </is>
      </c>
      <c r="B11" s="8" t="n">
        <v>46115</v>
      </c>
      <c r="C11" s="8" t="n">
        <v>46115</v>
      </c>
      <c r="D11" s="2" t="inlineStr">
        <is>
          <t>Costco Anywhere Visa (Citi) ****6858</t>
        </is>
      </c>
      <c r="E11" s="2" t="inlineStr">
        <is>
          <t>구매</t>
        </is>
      </c>
      <c r="F11" s="2" t="inlineStr">
        <is>
          <t>COSTCO GAS #0484 OREM UT</t>
        </is>
      </c>
      <c r="G11" s="2" t="inlineStr">
        <is>
          <t>Costco Gas</t>
        </is>
      </c>
      <c r="H11" s="2" t="inlineStr">
        <is>
          <t>교통/주유</t>
        </is>
      </c>
      <c r="I11" s="2" t="inlineStr">
        <is>
          <t>주유</t>
        </is>
      </c>
      <c r="J11" s="2" t="inlineStr">
        <is>
          <t>Costco Gas</t>
        </is>
      </c>
      <c r="K11" s="4" t="n">
        <v>41.47</v>
      </c>
      <c r="L11" s="4">
        <f>IF($E11="구매",$K11,0)</f>
        <v/>
      </c>
      <c r="M11" s="4">
        <f>IF($E11="환불/크레딧",$K11,0)</f>
        <v/>
      </c>
      <c r="N11" s="4">
        <f>IF($E11="결제",$K11,0)</f>
        <v/>
      </c>
      <c r="O11" s="4">
        <f>$K11</f>
        <v/>
      </c>
      <c r="P11" s="2" t="inlineStr">
        <is>
          <t>2026-04</t>
        </is>
      </c>
      <c r="Q11" s="2" t="inlineStr">
        <is>
          <t>April2026_4952.pdf</t>
        </is>
      </c>
      <c r="R11" s="2" t="inlineStr"/>
      <c r="S11" s="2" t="inlineStr"/>
      <c r="T11" s="2" t="inlineStr"/>
      <c r="U11" s="2" t="inlineStr"/>
    </row>
    <row r="12">
      <c r="A12" s="2" t="inlineStr">
        <is>
          <t>20260403-0002</t>
        </is>
      </c>
      <c r="B12" s="8" t="n">
        <v>46115</v>
      </c>
      <c r="C12" s="8" t="n">
        <v>46115</v>
      </c>
      <c r="D12" s="2" t="inlineStr">
        <is>
          <t>Costco Anywhere Visa (Citi) ****6858</t>
        </is>
      </c>
      <c r="E12" s="2" t="inlineStr">
        <is>
          <t>구매</t>
        </is>
      </c>
      <c r="F12" s="2" t="inlineStr">
        <is>
          <t>COSTCO WHSE #0484 OREM UT</t>
        </is>
      </c>
      <c r="G12" s="2" t="inlineStr">
        <is>
          <t>Costco Warehouse</t>
        </is>
      </c>
      <c r="H12" s="2" t="inlineStr">
        <is>
          <t>식료품/생활용품</t>
        </is>
      </c>
      <c r="I12" s="2" t="inlineStr">
        <is>
          <t>Costco 매장</t>
        </is>
      </c>
      <c r="J12" s="2" t="inlineStr">
        <is>
          <t>Costco 매장</t>
        </is>
      </c>
      <c r="K12" s="4" t="n">
        <v>33.81</v>
      </c>
      <c r="L12" s="4">
        <f>IF($E12="구매",$K12,0)</f>
        <v/>
      </c>
      <c r="M12" s="4">
        <f>IF($E12="환불/크레딧",$K12,0)</f>
        <v/>
      </c>
      <c r="N12" s="4">
        <f>IF($E12="결제",$K12,0)</f>
        <v/>
      </c>
      <c r="O12" s="4">
        <f>$K12</f>
        <v/>
      </c>
      <c r="P12" s="2" t="inlineStr">
        <is>
          <t>2026-04</t>
        </is>
      </c>
      <c r="Q12" s="2" t="inlineStr">
        <is>
          <t>April2026_4952.pdf</t>
        </is>
      </c>
      <c r="R12" s="2" t="inlineStr"/>
      <c r="S12" s="2" t="inlineStr"/>
      <c r="T12" s="2" t="inlineStr"/>
      <c r="U12" s="2" t="inlineStr"/>
    </row>
    <row r="13">
      <c r="A13" s="2" t="inlineStr">
        <is>
          <t>20260403-0003</t>
        </is>
      </c>
      <c r="B13" s="8" t="n">
        <v>46115</v>
      </c>
      <c r="C13" s="8" t="n"/>
      <c r="D13" s="2" t="inlineStr">
        <is>
          <t>Costco Anywhere Visa (Citi) ****6858</t>
        </is>
      </c>
      <c r="E13" s="2" t="inlineStr">
        <is>
          <t>결제</t>
        </is>
      </c>
      <c r="F13" s="2" t="inlineStr">
        <is>
          <t>ONLINE PAYMENT, THANK YOU</t>
        </is>
      </c>
      <c r="G13" s="2" t="inlineStr">
        <is>
          <t>Card Payment</t>
        </is>
      </c>
      <c r="H13" s="2" t="inlineStr">
        <is>
          <t>결제/이체</t>
        </is>
      </c>
      <c r="I13" s="2" t="inlineStr">
        <is>
          <t>카드대금 결제</t>
        </is>
      </c>
      <c r="J13" s="2" t="inlineStr">
        <is>
          <t>카드결제</t>
        </is>
      </c>
      <c r="K13" s="4" t="n">
        <v>-111.46</v>
      </c>
      <c r="L13" s="4">
        <f>IF($E13="구매",$K13,0)</f>
        <v/>
      </c>
      <c r="M13" s="4">
        <f>IF($E13="환불/크레딧",$K13,0)</f>
        <v/>
      </c>
      <c r="N13" s="4">
        <f>IF($E13="결제",$K13,0)</f>
        <v/>
      </c>
      <c r="O13" s="4">
        <f>$K13</f>
        <v/>
      </c>
      <c r="P13" s="2" t="inlineStr">
        <is>
          <t>2026-04</t>
        </is>
      </c>
      <c r="Q13" s="2" t="inlineStr">
        <is>
          <t>April2026_4952.pdf</t>
        </is>
      </c>
      <c r="R13" s="2" t="inlineStr"/>
      <c r="S13" s="2" t="inlineStr"/>
      <c r="T13" s="2" t="inlineStr"/>
      <c r="U13" s="2" t="inlineStr"/>
    </row>
    <row r="14">
      <c r="A14" s="2" t="inlineStr">
        <is>
          <t>20260403-0004</t>
        </is>
      </c>
      <c r="B14" s="8" t="n">
        <v>46115</v>
      </c>
      <c r="C14" s="8" t="n"/>
      <c r="D14" s="2" t="inlineStr">
        <is>
          <t>Prime Visa (Chase) ****6217</t>
        </is>
      </c>
      <c r="E14" s="2" t="inlineStr">
        <is>
          <t>구매</t>
        </is>
      </c>
      <c r="F14" s="2" t="inlineStr">
        <is>
          <t>AMAZON MKTPL*B71L99J32 Amzn.com/bill WA</t>
        </is>
      </c>
      <c r="G14" s="2" t="inlineStr">
        <is>
          <t>Amazon</t>
        </is>
      </c>
      <c r="H14" s="2" t="inlineStr">
        <is>
          <t>온라인쇼핑</t>
        </is>
      </c>
      <c r="I14" s="2" t="inlineStr">
        <is>
          <t>Amazon</t>
        </is>
      </c>
      <c r="J14" s="2" t="inlineStr">
        <is>
          <t>Amazon</t>
        </is>
      </c>
      <c r="K14" s="4" t="n">
        <v>10.73</v>
      </c>
      <c r="L14" s="4">
        <f>IF($E14="구매",$K14,0)</f>
        <v/>
      </c>
      <c r="M14" s="4">
        <f>IF($E14="환불/크레딧",$K14,0)</f>
        <v/>
      </c>
      <c r="N14" s="4">
        <f>IF($E14="결제",$K14,0)</f>
        <v/>
      </c>
      <c r="O14" s="4">
        <f>$K14</f>
        <v/>
      </c>
      <c r="P14" s="2" t="inlineStr">
        <is>
          <t>2026-04</t>
        </is>
      </c>
      <c r="Q14" s="2" t="inlineStr">
        <is>
          <t>BE3F4263-FAF2-4A9C-87A5-53852C30604D-list_09af.pdf</t>
        </is>
      </c>
      <c r="R14" s="2" t="inlineStr"/>
      <c r="S14" s="2" t="inlineStr"/>
      <c r="T14" s="2" t="inlineStr"/>
      <c r="U14" s="2" t="inlineStr"/>
    </row>
    <row r="15">
      <c r="A15" s="2" t="inlineStr">
        <is>
          <t>20260403-0005</t>
        </is>
      </c>
      <c r="B15" s="8" t="n">
        <v>46115</v>
      </c>
      <c r="C15" s="8" t="n"/>
      <c r="D15" s="2" t="inlineStr">
        <is>
          <t>Prime Visa (Chase) ****6217</t>
        </is>
      </c>
      <c r="E15" s="2" t="inlineStr">
        <is>
          <t>구매</t>
        </is>
      </c>
      <c r="F15" s="2" t="inlineStr">
        <is>
          <t>Amazon.com*BG2082560 Amzn.com/bill WA</t>
        </is>
      </c>
      <c r="G15" s="2" t="inlineStr">
        <is>
          <t>Amazon</t>
        </is>
      </c>
      <c r="H15" s="2" t="inlineStr">
        <is>
          <t>온라인쇼핑</t>
        </is>
      </c>
      <c r="I15" s="2" t="inlineStr">
        <is>
          <t>Amazon</t>
        </is>
      </c>
      <c r="J15" s="2" t="inlineStr">
        <is>
          <t>Amazon</t>
        </is>
      </c>
      <c r="K15" s="4" t="n">
        <v>5.63</v>
      </c>
      <c r="L15" s="4">
        <f>IF($E15="구매",$K15,0)</f>
        <v/>
      </c>
      <c r="M15" s="4">
        <f>IF($E15="환불/크레딧",$K15,0)</f>
        <v/>
      </c>
      <c r="N15" s="4">
        <f>IF($E15="결제",$K15,0)</f>
        <v/>
      </c>
      <c r="O15" s="4">
        <f>$K15</f>
        <v/>
      </c>
      <c r="P15" s="2" t="inlineStr">
        <is>
          <t>2026-04</t>
        </is>
      </c>
      <c r="Q15" s="2" t="inlineStr">
        <is>
          <t>BE3F4263-FAF2-4A9C-87A5-53852C30604D-list_09af.pdf</t>
        </is>
      </c>
      <c r="R15" s="2" t="inlineStr"/>
      <c r="S15" s="2" t="inlineStr"/>
      <c r="T15" s="2" t="inlineStr"/>
      <c r="U15" s="2" t="inlineStr"/>
    </row>
    <row r="16">
      <c r="A16" s="2" t="inlineStr">
        <is>
          <t>20260406-0006</t>
        </is>
      </c>
      <c r="B16" s="8" t="n">
        <v>46118</v>
      </c>
      <c r="C16" s="8" t="n"/>
      <c r="D16" s="2" t="inlineStr">
        <is>
          <t>Prime Visa (Chase) ****6217</t>
        </is>
      </c>
      <c r="E16" s="2" t="inlineStr">
        <is>
          <t>구매</t>
        </is>
      </c>
      <c r="F16" s="2" t="inlineStr">
        <is>
          <t>AMAZON MKTPL*BC0SR41L1 Amzn.com/bill WA</t>
        </is>
      </c>
      <c r="G16" s="2" t="inlineStr">
        <is>
          <t>Amazon</t>
        </is>
      </c>
      <c r="H16" s="2" t="inlineStr">
        <is>
          <t>온라인쇼핑</t>
        </is>
      </c>
      <c r="I16" s="2" t="inlineStr">
        <is>
          <t>Amazon</t>
        </is>
      </c>
      <c r="J16" s="2" t="inlineStr">
        <is>
          <t>Amazon</t>
        </is>
      </c>
      <c r="K16" s="4" t="n">
        <v>16.98</v>
      </c>
      <c r="L16" s="4">
        <f>IF($E16="구매",$K16,0)</f>
        <v/>
      </c>
      <c r="M16" s="4">
        <f>IF($E16="환불/크레딧",$K16,0)</f>
        <v/>
      </c>
      <c r="N16" s="4">
        <f>IF($E16="결제",$K16,0)</f>
        <v/>
      </c>
      <c r="O16" s="4">
        <f>$K16</f>
        <v/>
      </c>
      <c r="P16" s="2" t="inlineStr">
        <is>
          <t>2026-04</t>
        </is>
      </c>
      <c r="Q16" s="2" t="inlineStr">
        <is>
          <t>BE3F4263-FAF2-4A9C-87A5-53852C30604D-list_09af.pdf</t>
        </is>
      </c>
      <c r="R16" s="2" t="inlineStr"/>
      <c r="S16" s="2" t="inlineStr"/>
      <c r="T16" s="2" t="inlineStr"/>
      <c r="U16" s="2" t="inlineStr"/>
    </row>
    <row r="17">
      <c r="A17" s="2" t="inlineStr">
        <is>
          <t>20260407-0007</t>
        </is>
      </c>
      <c r="B17" s="8" t="n">
        <v>46119</v>
      </c>
      <c r="C17" s="8" t="n">
        <v>46119</v>
      </c>
      <c r="D17" s="2" t="inlineStr">
        <is>
          <t>Costco Anywhere Visa (Citi) ****6858</t>
        </is>
      </c>
      <c r="E17" s="2" t="inlineStr">
        <is>
          <t>구매</t>
        </is>
      </c>
      <c r="F17" s="2" t="inlineStr">
        <is>
          <t>WWW COSTCO COM 800-955-2292 WA</t>
        </is>
      </c>
      <c r="G17" s="2" t="inlineStr">
        <is>
          <t>Costco Online</t>
        </is>
      </c>
      <c r="H17" s="2" t="inlineStr">
        <is>
          <t>온라인쇼핑</t>
        </is>
      </c>
      <c r="I17" s="2" t="inlineStr">
        <is>
          <t>Costco 온라인</t>
        </is>
      </c>
      <c r="J17" s="2" t="inlineStr">
        <is>
          <t>Costco 온라인</t>
        </is>
      </c>
      <c r="K17" s="4" t="n">
        <v>42.97</v>
      </c>
      <c r="L17" s="4">
        <f>IF($E17="구매",$K17,0)</f>
        <v/>
      </c>
      <c r="M17" s="4">
        <f>IF($E17="환불/크레딧",$K17,0)</f>
        <v/>
      </c>
      <c r="N17" s="4">
        <f>IF($E17="결제",$K17,0)</f>
        <v/>
      </c>
      <c r="O17" s="4">
        <f>$K17</f>
        <v/>
      </c>
      <c r="P17" s="2" t="inlineStr">
        <is>
          <t>2026-05</t>
        </is>
      </c>
      <c r="Q17" s="2" t="inlineStr">
        <is>
          <t>May2026_2c5d.pdf</t>
        </is>
      </c>
      <c r="R17" s="2" t="inlineStr"/>
      <c r="S17" s="2" t="inlineStr"/>
      <c r="T17" s="2" t="inlineStr"/>
      <c r="U17" s="2" t="inlineStr"/>
    </row>
    <row r="18">
      <c r="A18" s="2" t="inlineStr">
        <is>
          <t>20260407-0008</t>
        </is>
      </c>
      <c r="B18" s="8" t="n">
        <v>46119</v>
      </c>
      <c r="C18" s="8" t="n"/>
      <c r="D18" s="2" t="inlineStr">
        <is>
          <t>Prime Visa (Chase) ****6217</t>
        </is>
      </c>
      <c r="E18" s="2" t="inlineStr">
        <is>
          <t>구매</t>
        </is>
      </c>
      <c r="F18" s="2" t="inlineStr">
        <is>
          <t>AMAZON MKTPL*BC3EP1N30 Amzn.com/bill WA</t>
        </is>
      </c>
      <c r="G18" s="2" t="inlineStr">
        <is>
          <t>Amazon</t>
        </is>
      </c>
      <c r="H18" s="2" t="inlineStr">
        <is>
          <t>온라인쇼핑</t>
        </is>
      </c>
      <c r="I18" s="2" t="inlineStr">
        <is>
          <t>Amazon</t>
        </is>
      </c>
      <c r="J18" s="2" t="inlineStr">
        <is>
          <t>Amazon</t>
        </is>
      </c>
      <c r="K18" s="4" t="n">
        <v>11.13</v>
      </c>
      <c r="L18" s="4">
        <f>IF($E18="구매",$K18,0)</f>
        <v/>
      </c>
      <c r="M18" s="4">
        <f>IF($E18="환불/크레딧",$K18,0)</f>
        <v/>
      </c>
      <c r="N18" s="4">
        <f>IF($E18="결제",$K18,0)</f>
        <v/>
      </c>
      <c r="O18" s="4">
        <f>$K18</f>
        <v/>
      </c>
      <c r="P18" s="2" t="inlineStr">
        <is>
          <t>2026-04</t>
        </is>
      </c>
      <c r="Q18" s="2" t="inlineStr">
        <is>
          <t>BE3F4263-FAF2-4A9C-87A5-53852C30604D-list_09af.pdf</t>
        </is>
      </c>
      <c r="R18" s="2" t="inlineStr"/>
      <c r="S18" s="2" t="inlineStr"/>
      <c r="T18" s="2" t="inlineStr"/>
      <c r="U18" s="2" t="inlineStr"/>
    </row>
    <row r="19">
      <c r="A19" s="2" t="inlineStr">
        <is>
          <t>20260407-0009</t>
        </is>
      </c>
      <c r="B19" s="8" t="n">
        <v>46119</v>
      </c>
      <c r="C19" s="8" t="n"/>
      <c r="D19" s="2" t="inlineStr">
        <is>
          <t>Prime Visa (Chase) ****6217</t>
        </is>
      </c>
      <c r="E19" s="2" t="inlineStr">
        <is>
          <t>구매</t>
        </is>
      </c>
      <c r="F19" s="2" t="inlineStr">
        <is>
          <t>Amazon.com*BC0EP2NY0 Amzn.com/bill WA</t>
        </is>
      </c>
      <c r="G19" s="2" t="inlineStr">
        <is>
          <t>Amazon</t>
        </is>
      </c>
      <c r="H19" s="2" t="inlineStr">
        <is>
          <t>온라인쇼핑</t>
        </is>
      </c>
      <c r="I19" s="2" t="inlineStr">
        <is>
          <t>Amazon</t>
        </is>
      </c>
      <c r="J19" s="2" t="inlineStr">
        <is>
          <t>Amazon</t>
        </is>
      </c>
      <c r="K19" s="4" t="n">
        <v>13.2</v>
      </c>
      <c r="L19" s="4">
        <f>IF($E19="구매",$K19,0)</f>
        <v/>
      </c>
      <c r="M19" s="4">
        <f>IF($E19="환불/크레딧",$K19,0)</f>
        <v/>
      </c>
      <c r="N19" s="4">
        <f>IF($E19="결제",$K19,0)</f>
        <v/>
      </c>
      <c r="O19" s="4">
        <f>$K19</f>
        <v/>
      </c>
      <c r="P19" s="2" t="inlineStr">
        <is>
          <t>2026-04</t>
        </is>
      </c>
      <c r="Q19" s="2" t="inlineStr">
        <is>
          <t>BE3F4263-FAF2-4A9C-87A5-53852C30604D-list_09af.pdf</t>
        </is>
      </c>
      <c r="R19" s="2" t="inlineStr"/>
      <c r="S19" s="2" t="inlineStr"/>
      <c r="T19" s="2" t="inlineStr"/>
      <c r="U19" s="2" t="inlineStr"/>
    </row>
    <row r="20">
      <c r="A20" s="2" t="inlineStr">
        <is>
          <t>20260408-0010</t>
        </is>
      </c>
      <c r="B20" s="8" t="n">
        <v>46120</v>
      </c>
      <c r="C20" s="8" t="n"/>
      <c r="D20" s="2" t="inlineStr">
        <is>
          <t>Prime Visa (Chase) ****6217</t>
        </is>
      </c>
      <c r="E20" s="2" t="inlineStr">
        <is>
          <t>구매</t>
        </is>
      </c>
      <c r="F20" s="2" t="inlineStr">
        <is>
          <t>AMAZON MKTPL*BC4YY4QQ1 Amzn.com/bill WA</t>
        </is>
      </c>
      <c r="G20" s="2" t="inlineStr">
        <is>
          <t>Amazon</t>
        </is>
      </c>
      <c r="H20" s="2" t="inlineStr">
        <is>
          <t>온라인쇼핑</t>
        </is>
      </c>
      <c r="I20" s="2" t="inlineStr">
        <is>
          <t>Amazon</t>
        </is>
      </c>
      <c r="J20" s="2" t="inlineStr">
        <is>
          <t>Amazon</t>
        </is>
      </c>
      <c r="K20" s="4" t="n">
        <v>10.73</v>
      </c>
      <c r="L20" s="4">
        <f>IF($E20="구매",$K20,0)</f>
        <v/>
      </c>
      <c r="M20" s="4">
        <f>IF($E20="환불/크레딧",$K20,0)</f>
        <v/>
      </c>
      <c r="N20" s="4">
        <f>IF($E20="결제",$K20,0)</f>
        <v/>
      </c>
      <c r="O20" s="4">
        <f>$K20</f>
        <v/>
      </c>
      <c r="P20" s="2" t="inlineStr">
        <is>
          <t>2026-04</t>
        </is>
      </c>
      <c r="Q20" s="2" t="inlineStr">
        <is>
          <t>BE3F4263-FAF2-4A9C-87A5-53852C30604D-list_09af.pdf</t>
        </is>
      </c>
      <c r="R20" s="2" t="inlineStr"/>
      <c r="S20" s="2" t="inlineStr"/>
      <c r="T20" s="2" t="inlineStr"/>
      <c r="U20" s="2" t="inlineStr"/>
    </row>
    <row r="21">
      <c r="A21" s="2" t="inlineStr">
        <is>
          <t>20260411-0011</t>
        </is>
      </c>
      <c r="B21" s="8" t="n">
        <v>46123</v>
      </c>
      <c r="C21" s="8" t="n">
        <v>46123</v>
      </c>
      <c r="D21" s="2" t="inlineStr">
        <is>
          <t>Costco Anywhere Visa (Citi) ****6858</t>
        </is>
      </c>
      <c r="E21" s="2" t="inlineStr">
        <is>
          <t>구매</t>
        </is>
      </c>
      <c r="F21" s="2" t="inlineStr">
        <is>
          <t>COSTCO WHSE #0484 OREM UT</t>
        </is>
      </c>
      <c r="G21" s="2" t="inlineStr">
        <is>
          <t>Costco Warehouse</t>
        </is>
      </c>
      <c r="H21" s="2" t="inlineStr">
        <is>
          <t>식료품/생활용품</t>
        </is>
      </c>
      <c r="I21" s="2" t="inlineStr">
        <is>
          <t>Costco 매장</t>
        </is>
      </c>
      <c r="J21" s="2" t="inlineStr">
        <is>
          <t>Costco 매장</t>
        </is>
      </c>
      <c r="K21" s="4" t="n">
        <v>7.02</v>
      </c>
      <c r="L21" s="4">
        <f>IF($E21="구매",$K21,0)</f>
        <v/>
      </c>
      <c r="M21" s="4">
        <f>IF($E21="환불/크레딧",$K21,0)</f>
        <v/>
      </c>
      <c r="N21" s="4">
        <f>IF($E21="결제",$K21,0)</f>
        <v/>
      </c>
      <c r="O21" s="4">
        <f>$K21</f>
        <v/>
      </c>
      <c r="P21" s="2" t="inlineStr">
        <is>
          <t>2026-05</t>
        </is>
      </c>
      <c r="Q21" s="2" t="inlineStr">
        <is>
          <t>May2026_2c5d.pdf</t>
        </is>
      </c>
      <c r="R21" s="2" t="inlineStr"/>
      <c r="S21" s="2" t="inlineStr"/>
      <c r="T21" s="2" t="inlineStr"/>
      <c r="U21" s="2" t="inlineStr"/>
    </row>
    <row r="22">
      <c r="A22" s="2" t="inlineStr">
        <is>
          <t>20260411-0012</t>
        </is>
      </c>
      <c r="B22" s="8" t="n">
        <v>46123</v>
      </c>
      <c r="C22" s="8" t="n">
        <v>46123</v>
      </c>
      <c r="D22" s="2" t="inlineStr">
        <is>
          <t>Costco Anywhere Visa (Citi) ****6858</t>
        </is>
      </c>
      <c r="E22" s="2" t="inlineStr">
        <is>
          <t>구매</t>
        </is>
      </c>
      <c r="F22" s="2" t="inlineStr">
        <is>
          <t>COSTCO WHSE #0484 OREM UT</t>
        </is>
      </c>
      <c r="G22" s="2" t="inlineStr">
        <is>
          <t>Costco Warehouse</t>
        </is>
      </c>
      <c r="H22" s="2" t="inlineStr">
        <is>
          <t>식료품/생활용품</t>
        </is>
      </c>
      <c r="I22" s="2" t="inlineStr">
        <is>
          <t>Costco 매장</t>
        </is>
      </c>
      <c r="J22" s="2" t="inlineStr">
        <is>
          <t>Costco 매장</t>
        </is>
      </c>
      <c r="K22" s="4" t="n">
        <v>146.69</v>
      </c>
      <c r="L22" s="4">
        <f>IF($E22="구매",$K22,0)</f>
        <v/>
      </c>
      <c r="M22" s="4">
        <f>IF($E22="환불/크레딧",$K22,0)</f>
        <v/>
      </c>
      <c r="N22" s="4">
        <f>IF($E22="결제",$K22,0)</f>
        <v/>
      </c>
      <c r="O22" s="4">
        <f>$K22</f>
        <v/>
      </c>
      <c r="P22" s="2" t="inlineStr">
        <is>
          <t>2026-05</t>
        </is>
      </c>
      <c r="Q22" s="2" t="inlineStr">
        <is>
          <t>May2026_2c5d.pdf</t>
        </is>
      </c>
      <c r="R22" s="2" t="inlineStr"/>
      <c r="S22" s="2" t="inlineStr"/>
      <c r="T22" s="2" t="inlineStr"/>
      <c r="U22" s="2" t="inlineStr"/>
    </row>
    <row r="23">
      <c r="A23" s="2" t="inlineStr">
        <is>
          <t>20260411-0013</t>
        </is>
      </c>
      <c r="B23" s="8" t="n">
        <v>46123</v>
      </c>
      <c r="C23" s="8" t="n"/>
      <c r="D23" s="2" t="inlineStr">
        <is>
          <t>Prime Visa (Chase) ****6217</t>
        </is>
      </c>
      <c r="E23" s="2" t="inlineStr">
        <is>
          <t>구매</t>
        </is>
      </c>
      <c r="F23" s="2" t="inlineStr">
        <is>
          <t>AMAZON MKTPL*BY3SU8XS2 Amzn.com/bill WA</t>
        </is>
      </c>
      <c r="G23" s="2" t="inlineStr">
        <is>
          <t>Amazon</t>
        </is>
      </c>
      <c r="H23" s="2" t="inlineStr">
        <is>
          <t>온라인쇼핑</t>
        </is>
      </c>
      <c r="I23" s="2" t="inlineStr">
        <is>
          <t>Amazon</t>
        </is>
      </c>
      <c r="J23" s="2" t="inlineStr">
        <is>
          <t>Amazon</t>
        </is>
      </c>
      <c r="K23" s="4" t="n">
        <v>30.89</v>
      </c>
      <c r="L23" s="4">
        <f>IF($E23="구매",$K23,0)</f>
        <v/>
      </c>
      <c r="M23" s="4">
        <f>IF($E23="환불/크레딧",$K23,0)</f>
        <v/>
      </c>
      <c r="N23" s="4">
        <f>IF($E23="결제",$K23,0)</f>
        <v/>
      </c>
      <c r="O23" s="4">
        <f>$K23</f>
        <v/>
      </c>
      <c r="P23" s="2" t="inlineStr">
        <is>
          <t>2026-04</t>
        </is>
      </c>
      <c r="Q23" s="2" t="inlineStr">
        <is>
          <t>BE3F4263-FAF2-4A9C-87A5-53852C30604D-list_09af.pdf</t>
        </is>
      </c>
      <c r="R23" s="2" t="inlineStr"/>
      <c r="S23" s="2" t="inlineStr"/>
      <c r="T23" s="2" t="inlineStr"/>
      <c r="U23" s="2" t="inlineStr"/>
    </row>
    <row r="24">
      <c r="A24" s="2" t="inlineStr">
        <is>
          <t>20260413-0014</t>
        </is>
      </c>
      <c r="B24" s="8" t="n">
        <v>46125</v>
      </c>
      <c r="C24" s="8" t="n"/>
      <c r="D24" s="2" t="inlineStr">
        <is>
          <t>Prime Visa (Chase) ****6217</t>
        </is>
      </c>
      <c r="E24" s="2" t="inlineStr">
        <is>
          <t>구매</t>
        </is>
      </c>
      <c r="F24" s="2" t="inlineStr">
        <is>
          <t>AMAZON MKTPL*BY9KG8262 Amzn.com/bill WA</t>
        </is>
      </c>
      <c r="G24" s="2" t="inlineStr">
        <is>
          <t>Amazon</t>
        </is>
      </c>
      <c r="H24" s="2" t="inlineStr">
        <is>
          <t>온라인쇼핑</t>
        </is>
      </c>
      <c r="I24" s="2" t="inlineStr">
        <is>
          <t>Amazon</t>
        </is>
      </c>
      <c r="J24" s="2" t="inlineStr">
        <is>
          <t>Amazon</t>
        </is>
      </c>
      <c r="K24" s="4" t="n">
        <v>9.19</v>
      </c>
      <c r="L24" s="4">
        <f>IF($E24="구매",$K24,0)</f>
        <v/>
      </c>
      <c r="M24" s="4">
        <f>IF($E24="환불/크레딧",$K24,0)</f>
        <v/>
      </c>
      <c r="N24" s="4">
        <f>IF($E24="결제",$K24,0)</f>
        <v/>
      </c>
      <c r="O24" s="4">
        <f>$K24</f>
        <v/>
      </c>
      <c r="P24" s="2" t="inlineStr">
        <is>
          <t>2026-04</t>
        </is>
      </c>
      <c r="Q24" s="2" t="inlineStr">
        <is>
          <t>BE3F4263-FAF2-4A9C-87A5-53852C30604D-list_09af.pdf</t>
        </is>
      </c>
      <c r="R24" s="2" t="inlineStr"/>
      <c r="S24" s="2" t="inlineStr"/>
      <c r="T24" s="2" t="inlineStr"/>
      <c r="U24" s="2" t="inlineStr"/>
    </row>
    <row r="25">
      <c r="A25" s="2" t="inlineStr">
        <is>
          <t>20260414-0015</t>
        </is>
      </c>
      <c r="B25" s="8" t="n">
        <v>46126</v>
      </c>
      <c r="C25" s="8" t="n"/>
      <c r="D25" s="2" t="inlineStr">
        <is>
          <t>Prime Visa (Chase) ****6217</t>
        </is>
      </c>
      <c r="E25" s="2" t="inlineStr">
        <is>
          <t>구매</t>
        </is>
      </c>
      <c r="F25" s="2" t="inlineStr">
        <is>
          <t>Amazon.com*B74A77521 Amzn.com/bill WA</t>
        </is>
      </c>
      <c r="G25" s="2" t="inlineStr">
        <is>
          <t>Amazon</t>
        </is>
      </c>
      <c r="H25" s="2" t="inlineStr">
        <is>
          <t>온라인쇼핑</t>
        </is>
      </c>
      <c r="I25" s="2" t="inlineStr">
        <is>
          <t>Amazon</t>
        </is>
      </c>
      <c r="J25" s="2" t="inlineStr">
        <is>
          <t>Amazon</t>
        </is>
      </c>
      <c r="K25" s="4" t="n">
        <v>11.8</v>
      </c>
      <c r="L25" s="4">
        <f>IF($E25="구매",$K25,0)</f>
        <v/>
      </c>
      <c r="M25" s="4">
        <f>IF($E25="환불/크레딧",$K25,0)</f>
        <v/>
      </c>
      <c r="N25" s="4">
        <f>IF($E25="결제",$K25,0)</f>
        <v/>
      </c>
      <c r="O25" s="4">
        <f>$K25</f>
        <v/>
      </c>
      <c r="P25" s="2" t="inlineStr">
        <is>
          <t>2026-04</t>
        </is>
      </c>
      <c r="Q25" s="2" t="inlineStr">
        <is>
          <t>BE3F4263-FAF2-4A9C-87A5-53852C30604D-list_09af.pdf</t>
        </is>
      </c>
      <c r="R25" s="2" t="inlineStr"/>
      <c r="S25" s="2" t="inlineStr"/>
      <c r="T25" s="2" t="inlineStr"/>
      <c r="U25" s="2" t="inlineStr"/>
    </row>
    <row r="26">
      <c r="A26" s="2" t="inlineStr">
        <is>
          <t>20260416-0016</t>
        </is>
      </c>
      <c r="B26" s="8" t="n">
        <v>46128</v>
      </c>
      <c r="C26" s="8" t="n">
        <v>46128</v>
      </c>
      <c r="D26" s="2" t="inlineStr">
        <is>
          <t>Costco Anywhere Visa (Citi) ****6858</t>
        </is>
      </c>
      <c r="E26" s="2" t="inlineStr">
        <is>
          <t>구매</t>
        </is>
      </c>
      <c r="F26" s="2" t="inlineStr">
        <is>
          <t>COSTCO GAS #0484 OREM UT</t>
        </is>
      </c>
      <c r="G26" s="2" t="inlineStr">
        <is>
          <t>Costco Gas</t>
        </is>
      </c>
      <c r="H26" s="2" t="inlineStr">
        <is>
          <t>교통/주유</t>
        </is>
      </c>
      <c r="I26" s="2" t="inlineStr">
        <is>
          <t>주유</t>
        </is>
      </c>
      <c r="J26" s="2" t="inlineStr">
        <is>
          <t>Costco Gas</t>
        </is>
      </c>
      <c r="K26" s="4" t="n">
        <v>55.04</v>
      </c>
      <c r="L26" s="4">
        <f>IF($E26="구매",$K26,0)</f>
        <v/>
      </c>
      <c r="M26" s="4">
        <f>IF($E26="환불/크레딧",$K26,0)</f>
        <v/>
      </c>
      <c r="N26" s="4">
        <f>IF($E26="결제",$K26,0)</f>
        <v/>
      </c>
      <c r="O26" s="4">
        <f>$K26</f>
        <v/>
      </c>
      <c r="P26" s="2" t="inlineStr">
        <is>
          <t>2026-05</t>
        </is>
      </c>
      <c r="Q26" s="2" t="inlineStr">
        <is>
          <t>May2026_2c5d.pdf</t>
        </is>
      </c>
      <c r="R26" s="2" t="inlineStr"/>
      <c r="S26" s="2" t="inlineStr"/>
      <c r="T26" s="2" t="inlineStr"/>
      <c r="U26" s="2" t="inlineStr"/>
    </row>
    <row r="27">
      <c r="A27" s="2" t="inlineStr">
        <is>
          <t>20260417-0017</t>
        </is>
      </c>
      <c r="B27" s="8" t="n">
        <v>46129</v>
      </c>
      <c r="C27" s="8" t="n"/>
      <c r="D27" s="2" t="inlineStr">
        <is>
          <t>Prime Visa (Chase) ****6217</t>
        </is>
      </c>
      <c r="E27" s="2" t="inlineStr">
        <is>
          <t>환불/크레딧</t>
        </is>
      </c>
      <c r="F27" s="2" t="inlineStr">
        <is>
          <t>AMAZON MKTPLACE PMTS Amzn.com/bill WA</t>
        </is>
      </c>
      <c r="G27" s="2" t="inlineStr">
        <is>
          <t>Amazon</t>
        </is>
      </c>
      <c r="H27" s="2" t="inlineStr">
        <is>
          <t>환불/크레딧</t>
        </is>
      </c>
      <c r="I27" s="2" t="inlineStr">
        <is>
          <t>환불/반품</t>
        </is>
      </c>
      <c r="J27" s="2" t="inlineStr">
        <is>
          <t>Amazon 환불</t>
        </is>
      </c>
      <c r="K27" s="4" t="n">
        <v>-9.19</v>
      </c>
      <c r="L27" s="4">
        <f>IF($E27="구매",$K27,0)</f>
        <v/>
      </c>
      <c r="M27" s="4">
        <f>IF($E27="환불/크레딧",$K27,0)</f>
        <v/>
      </c>
      <c r="N27" s="4">
        <f>IF($E27="결제",$K27,0)</f>
        <v/>
      </c>
      <c r="O27" s="4">
        <f>$K27</f>
        <v/>
      </c>
      <c r="P27" s="2" t="inlineStr">
        <is>
          <t>2026-04</t>
        </is>
      </c>
      <c r="Q27" s="2" t="inlineStr">
        <is>
          <t>BE3F4263-FAF2-4A9C-87A5-53852C30604D-list_09af.pdf</t>
        </is>
      </c>
      <c r="R27" s="2" t="inlineStr"/>
      <c r="S27" s="2" t="inlineStr"/>
      <c r="T27" s="2" t="inlineStr"/>
      <c r="U27" s="2" t="inlineStr"/>
    </row>
    <row r="28">
      <c r="A28" s="2" t="inlineStr">
        <is>
          <t>20260419-0018</t>
        </is>
      </c>
      <c r="B28" s="8" t="n">
        <v>46131</v>
      </c>
      <c r="C28" s="8" t="n">
        <v>46131</v>
      </c>
      <c r="D28" s="2" t="inlineStr">
        <is>
          <t>Costco Anywhere Visa (Citi) ****6858</t>
        </is>
      </c>
      <c r="E28" s="2" t="inlineStr">
        <is>
          <t>구매</t>
        </is>
      </c>
      <c r="F28" s="2" t="inlineStr">
        <is>
          <t>COSTCO WHSE #0484 OREM UT</t>
        </is>
      </c>
      <c r="G28" s="2" t="inlineStr">
        <is>
          <t>Costco Warehouse</t>
        </is>
      </c>
      <c r="H28" s="2" t="inlineStr">
        <is>
          <t>식료품/생활용품</t>
        </is>
      </c>
      <c r="I28" s="2" t="inlineStr">
        <is>
          <t>Costco 매장</t>
        </is>
      </c>
      <c r="J28" s="2" t="inlineStr">
        <is>
          <t>Costco 매장</t>
        </is>
      </c>
      <c r="K28" s="4" t="n">
        <v>38.66</v>
      </c>
      <c r="L28" s="4">
        <f>IF($E28="구매",$K28,0)</f>
        <v/>
      </c>
      <c r="M28" s="4">
        <f>IF($E28="환불/크레딧",$K28,0)</f>
        <v/>
      </c>
      <c r="N28" s="4">
        <f>IF($E28="결제",$K28,0)</f>
        <v/>
      </c>
      <c r="O28" s="4">
        <f>$K28</f>
        <v/>
      </c>
      <c r="P28" s="2" t="inlineStr">
        <is>
          <t>2026-05</t>
        </is>
      </c>
      <c r="Q28" s="2" t="inlineStr">
        <is>
          <t>May2026_2c5d.pdf</t>
        </is>
      </c>
      <c r="R28" s="2" t="inlineStr"/>
      <c r="S28" s="2" t="inlineStr"/>
      <c r="T28" s="2" t="inlineStr"/>
      <c r="U28" s="2" t="inlineStr"/>
    </row>
    <row r="29">
      <c r="A29" s="2" t="inlineStr">
        <is>
          <t>20260422-0019</t>
        </is>
      </c>
      <c r="B29" s="8" t="n">
        <v>46134</v>
      </c>
      <c r="C29" s="8" t="n"/>
      <c r="D29" s="2" t="inlineStr">
        <is>
          <t>Costco Anywhere Visa (Citi) ****6858</t>
        </is>
      </c>
      <c r="E29" s="2" t="inlineStr">
        <is>
          <t>결제</t>
        </is>
      </c>
      <c r="F29" s="2" t="inlineStr">
        <is>
          <t>ONLINE PAYMENT, THANK YOU</t>
        </is>
      </c>
      <c r="G29" s="2" t="inlineStr">
        <is>
          <t>Card Payment</t>
        </is>
      </c>
      <c r="H29" s="2" t="inlineStr">
        <is>
          <t>결제/이체</t>
        </is>
      </c>
      <c r="I29" s="2" t="inlineStr">
        <is>
          <t>카드대금 결제</t>
        </is>
      </c>
      <c r="J29" s="2" t="inlineStr">
        <is>
          <t>카드결제</t>
        </is>
      </c>
      <c r="K29" s="4" t="n">
        <v>-365.66</v>
      </c>
      <c r="L29" s="4">
        <f>IF($E29="구매",$K29,0)</f>
        <v/>
      </c>
      <c r="M29" s="4">
        <f>IF($E29="환불/크레딧",$K29,0)</f>
        <v/>
      </c>
      <c r="N29" s="4">
        <f>IF($E29="결제",$K29,0)</f>
        <v/>
      </c>
      <c r="O29" s="4">
        <f>$K29</f>
        <v/>
      </c>
      <c r="P29" s="2" t="inlineStr">
        <is>
          <t>2026-05</t>
        </is>
      </c>
      <c r="Q29" s="2" t="inlineStr">
        <is>
          <t>May2026_2c5d.pdf</t>
        </is>
      </c>
      <c r="R29" s="2" t="inlineStr"/>
      <c r="S29" s="2" t="inlineStr"/>
      <c r="T29" s="2" t="inlineStr"/>
      <c r="U29" s="2" t="inlineStr"/>
    </row>
    <row r="30">
      <c r="A30" s="2" t="inlineStr">
        <is>
          <t>20260422-0020</t>
        </is>
      </c>
      <c r="B30" s="8" t="n">
        <v>46134</v>
      </c>
      <c r="C30" s="8" t="n"/>
      <c r="D30" s="2" t="inlineStr">
        <is>
          <t>Prime Visa (Chase) ****6217</t>
        </is>
      </c>
      <c r="E30" s="2" t="inlineStr">
        <is>
          <t>결제</t>
        </is>
      </c>
      <c r="F30" s="2" t="inlineStr">
        <is>
          <t>Payment Thank You-Mobile</t>
        </is>
      </c>
      <c r="G30" s="2" t="inlineStr">
        <is>
          <t>Card Payment</t>
        </is>
      </c>
      <c r="H30" s="2" t="inlineStr">
        <is>
          <t>결제/이체</t>
        </is>
      </c>
      <c r="I30" s="2" t="inlineStr">
        <is>
          <t>카드대금 결제</t>
        </is>
      </c>
      <c r="J30" s="2" t="inlineStr">
        <is>
          <t>카드결제</t>
        </is>
      </c>
      <c r="K30" s="4" t="n">
        <v>-120.95</v>
      </c>
      <c r="L30" s="4">
        <f>IF($E30="구매",$K30,0)</f>
        <v/>
      </c>
      <c r="M30" s="4">
        <f>IF($E30="환불/크레딧",$K30,0)</f>
        <v/>
      </c>
      <c r="N30" s="4">
        <f>IF($E30="결제",$K30,0)</f>
        <v/>
      </c>
      <c r="O30" s="4">
        <f>$K30</f>
        <v/>
      </c>
      <c r="P30" s="2" t="inlineStr">
        <is>
          <t>2026-04</t>
        </is>
      </c>
      <c r="Q30" s="2" t="inlineStr">
        <is>
          <t>BE3F4263-FAF2-4A9C-87A5-53852C30604D-list_09af.pdf</t>
        </is>
      </c>
      <c r="R30" s="2" t="inlineStr"/>
      <c r="S30" s="2" t="inlineStr"/>
      <c r="T30" s="2" t="inlineStr"/>
      <c r="U30" s="2" t="inlineStr"/>
    </row>
    <row r="31">
      <c r="A31" s="2" t="inlineStr">
        <is>
          <t>20260425-0021</t>
        </is>
      </c>
      <c r="B31" s="8" t="n">
        <v>46137</v>
      </c>
      <c r="C31" s="8" t="n"/>
      <c r="D31" s="2" t="inlineStr">
        <is>
          <t>Prime Visa (Chase) ****6217</t>
        </is>
      </c>
      <c r="E31" s="2" t="inlineStr">
        <is>
          <t>구매</t>
        </is>
      </c>
      <c r="F31" s="2" t="inlineStr">
        <is>
          <t>AMAZON MKTPL*BJ8XT25Y2 Amzn.com/bill WA</t>
        </is>
      </c>
      <c r="G31" s="2" t="inlineStr">
        <is>
          <t>Amazon</t>
        </is>
      </c>
      <c r="H31" s="2" t="inlineStr">
        <is>
          <t>온라인쇼핑</t>
        </is>
      </c>
      <c r="I31" s="2" t="inlineStr">
        <is>
          <t>Amazon</t>
        </is>
      </c>
      <c r="J31" s="2" t="inlineStr">
        <is>
          <t>Amazon</t>
        </is>
      </c>
      <c r="K31" s="4" t="n">
        <v>43.59</v>
      </c>
      <c r="L31" s="4">
        <f>IF($E31="구매",$K31,0)</f>
        <v/>
      </c>
      <c r="M31" s="4">
        <f>IF($E31="환불/크레딧",$K31,0)</f>
        <v/>
      </c>
      <c r="N31" s="4">
        <f>IF($E31="결제",$K31,0)</f>
        <v/>
      </c>
      <c r="O31" s="4">
        <f>$K31</f>
        <v/>
      </c>
      <c r="P31" s="2" t="inlineStr">
        <is>
          <t>2026-04</t>
        </is>
      </c>
      <c r="Q31" s="2" t="inlineStr">
        <is>
          <t>BE3F4263-FAF2-4A9C-87A5-53852C30604D-list_09af.pdf</t>
        </is>
      </c>
      <c r="R31" s="2" t="inlineStr"/>
      <c r="S31" s="2" t="inlineStr"/>
      <c r="T31" s="2" t="inlineStr"/>
      <c r="U31" s="2" t="inlineStr"/>
    </row>
    <row r="32">
      <c r="A32" s="2" t="inlineStr">
        <is>
          <t>20260426-0022</t>
        </is>
      </c>
      <c r="B32" s="8" t="n">
        <v>46138</v>
      </c>
      <c r="C32" s="8" t="n">
        <v>46138</v>
      </c>
      <c r="D32" s="2" t="inlineStr">
        <is>
          <t>Costco Anywhere Visa (Citi) ****6858</t>
        </is>
      </c>
      <c r="E32" s="2" t="inlineStr">
        <is>
          <t>구매</t>
        </is>
      </c>
      <c r="F32" s="2" t="inlineStr">
        <is>
          <t>COSTCO GAS #0484 OREM UT</t>
        </is>
      </c>
      <c r="G32" s="2" t="inlineStr">
        <is>
          <t>Costco Gas</t>
        </is>
      </c>
      <c r="H32" s="2" t="inlineStr">
        <is>
          <t>교통/주유</t>
        </is>
      </c>
      <c r="I32" s="2" t="inlineStr">
        <is>
          <t>주유</t>
        </is>
      </c>
      <c r="J32" s="2" t="inlineStr">
        <is>
          <t>Costco Gas</t>
        </is>
      </c>
      <c r="K32" s="4" t="n">
        <v>57.18</v>
      </c>
      <c r="L32" s="4">
        <f>IF($E32="구매",$K32,0)</f>
        <v/>
      </c>
      <c r="M32" s="4">
        <f>IF($E32="환불/크레딧",$K32,0)</f>
        <v/>
      </c>
      <c r="N32" s="4">
        <f>IF($E32="결제",$K32,0)</f>
        <v/>
      </c>
      <c r="O32" s="4">
        <f>$K32</f>
        <v/>
      </c>
      <c r="P32" s="2" t="inlineStr">
        <is>
          <t>2026-05</t>
        </is>
      </c>
      <c r="Q32" s="2" t="inlineStr">
        <is>
          <t>May2026_2c5d.pdf</t>
        </is>
      </c>
      <c r="R32" s="2" t="inlineStr"/>
      <c r="S32" s="2" t="inlineStr"/>
      <c r="T32" s="2" t="inlineStr"/>
      <c r="U32" s="2" t="inlineStr"/>
    </row>
    <row r="33">
      <c r="A33" s="2" t="inlineStr">
        <is>
          <t>20260427-0023</t>
        </is>
      </c>
      <c r="B33" s="8" t="n">
        <v>46139</v>
      </c>
      <c r="C33" s="8" t="n"/>
      <c r="D33" s="2" t="inlineStr">
        <is>
          <t>Prime Visa (Chase) ****6217</t>
        </is>
      </c>
      <c r="E33" s="2" t="inlineStr">
        <is>
          <t>구매</t>
        </is>
      </c>
      <c r="F33" s="2" t="inlineStr">
        <is>
          <t>AMAZON MKTPL*BS2LG7ZQ0 Amzn.com/bill WA</t>
        </is>
      </c>
      <c r="G33" s="2" t="inlineStr">
        <is>
          <t>Amazon</t>
        </is>
      </c>
      <c r="H33" s="2" t="inlineStr">
        <is>
          <t>온라인쇼핑</t>
        </is>
      </c>
      <c r="I33" s="2" t="inlineStr">
        <is>
          <t>Amazon</t>
        </is>
      </c>
      <c r="J33" s="2" t="inlineStr">
        <is>
          <t>Amazon</t>
        </is>
      </c>
      <c r="K33" s="4" t="n">
        <v>40.82</v>
      </c>
      <c r="L33" s="4">
        <f>IF($E33="구매",$K33,0)</f>
        <v/>
      </c>
      <c r="M33" s="4">
        <f>IF($E33="환불/크레딧",$K33,0)</f>
        <v/>
      </c>
      <c r="N33" s="4">
        <f>IF($E33="결제",$K33,0)</f>
        <v/>
      </c>
      <c r="O33" s="4">
        <f>$K33</f>
        <v/>
      </c>
      <c r="P33" s="2" t="inlineStr">
        <is>
          <t>2026-04</t>
        </is>
      </c>
      <c r="Q33" s="2" t="inlineStr">
        <is>
          <t>BE3F4263-FAF2-4A9C-87A5-53852C30604D-list_09af.pdf</t>
        </is>
      </c>
      <c r="R33" s="2" t="inlineStr"/>
      <c r="S33" s="2" t="inlineStr"/>
      <c r="T33" s="2" t="inlineStr"/>
      <c r="U33" s="2" t="inlineStr"/>
    </row>
    <row r="34">
      <c r="A34" s="2" t="inlineStr">
        <is>
          <t>20260429-0024</t>
        </is>
      </c>
      <c r="B34" s="8" t="n">
        <v>46141</v>
      </c>
      <c r="C34" s="8" t="n"/>
      <c r="D34" s="2" t="inlineStr">
        <is>
          <t>Prime Visa (Chase) ****6217</t>
        </is>
      </c>
      <c r="E34" s="2" t="inlineStr">
        <is>
          <t>구매</t>
        </is>
      </c>
      <c r="F34" s="2" t="inlineStr">
        <is>
          <t>AMAZON MKTPL*BJ35W1NP1 Amzn.com/bill WA</t>
        </is>
      </c>
      <c r="G34" s="2" t="inlineStr">
        <is>
          <t>Amazon</t>
        </is>
      </c>
      <c r="H34" s="2" t="inlineStr">
        <is>
          <t>온라인쇼핑</t>
        </is>
      </c>
      <c r="I34" s="2" t="inlineStr">
        <is>
          <t>Amazon</t>
        </is>
      </c>
      <c r="J34" s="2" t="inlineStr">
        <is>
          <t>Amazon</t>
        </is>
      </c>
      <c r="K34" s="4" t="n">
        <v>16.17</v>
      </c>
      <c r="L34" s="4">
        <f>IF($E34="구매",$K34,0)</f>
        <v/>
      </c>
      <c r="M34" s="4">
        <f>IF($E34="환불/크레딧",$K34,0)</f>
        <v/>
      </c>
      <c r="N34" s="4">
        <f>IF($E34="결제",$K34,0)</f>
        <v/>
      </c>
      <c r="O34" s="4">
        <f>$K34</f>
        <v/>
      </c>
      <c r="P34" s="2" t="inlineStr">
        <is>
          <t>2026-05</t>
        </is>
      </c>
      <c r="Q34" s="2" t="inlineStr">
        <is>
          <t>69212C10-1B95-4A05-9104-379BBA52768F-list_d242.pdf</t>
        </is>
      </c>
      <c r="R34" s="2" t="inlineStr"/>
      <c r="S34" s="2" t="inlineStr"/>
      <c r="T34" s="2" t="inlineStr"/>
      <c r="U34" s="2" t="inlineStr"/>
    </row>
  </sheetData>
  <autoFilter ref="A10:U34"/>
  <conditionalFormatting sqref="U11:U34">
    <cfRule type="cellIs" priority="1" operator="equal" dxfId="0">
      <formula>"확인"</formula>
    </cfRule>
  </conditionalFormatting>
  <dataValidations count="3">
    <dataValidation sqref="R11:R34" showDropDown="0" showInputMessage="0" showErrorMessage="0" allowBlank="1" type="list">
      <formula1>'분류목록'!$A$2:$A$9</formula1>
    </dataValidation>
    <dataValidation sqref="S11:S34" showDropDown="0" showInputMessage="0" showErrorMessage="0" allowBlank="1" type="list">
      <formula1>'분류목록'!$B$2:$B$10</formula1>
    </dataValidation>
    <dataValidation sqref="E11:E34" showDropDown="0" showInputMessage="0" showErrorMessage="0" allowBlank="0" type="list">
      <formula1>"구매,환불/크레딧,결제"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2" customWidth="1" min="4" max="4"/>
    <col width="14" customWidth="1" min="5" max="5"/>
    <col width="46" customWidth="1" min="6" max="6"/>
    <col width="24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5" customWidth="1" min="13" max="13"/>
    <col width="15" customWidth="1" min="14" max="14"/>
    <col width="13" customWidth="1" min="15" max="15"/>
    <col width="13" customWidth="1" min="16" max="16"/>
    <col width="42" customWidth="1" min="17" max="17"/>
    <col width="18" customWidth="1" min="18" max="18"/>
    <col width="18" customWidth="1" min="19" max="19"/>
    <col width="32" customWidth="1" min="20" max="20"/>
    <col width="12" customWidth="1" min="21" max="21"/>
  </cols>
  <sheetData>
    <row r="1">
      <c r="A1" s="7" t="inlineStr">
        <is>
          <t>2026년 5월 카드 사용내역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구매 지출 합계</t>
        </is>
      </c>
      <c r="B3" s="4">
        <f>SUM(L11:L38)</f>
        <v/>
      </c>
      <c r="C3" s="2" t="n"/>
      <c r="D3" s="2" t="inlineStr">
        <is>
          <t>편집 안내</t>
        </is>
      </c>
      <c r="E3" s="2" t="inlineStr">
        <is>
          <t>사용자_대분류/사용자_세부분류/사용자_메모 열은 직접 수정용입니다. 원본 분류는 비교를 위해 보존했습니다.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환불/크레딧 합계</t>
        </is>
      </c>
      <c r="B4" s="4">
        <f>SUM(M11:M38)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카드대금 결제 합계</t>
        </is>
      </c>
      <c r="B5" s="4">
        <f>SUM(N11:N38)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순액</t>
        </is>
      </c>
      <c r="B6" s="4">
        <f>SUM(O11:O38)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거래 수</t>
        </is>
      </c>
      <c r="B7" s="2" t="n">
        <v>28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3" t="inlineStr">
        <is>
          <t>ID</t>
        </is>
      </c>
      <c r="B10" s="3" t="inlineStr">
        <is>
          <t>사용일</t>
        </is>
      </c>
      <c r="C10" s="3" t="inlineStr">
        <is>
          <t>전기일</t>
        </is>
      </c>
      <c r="D10" s="3" t="inlineStr">
        <is>
          <t>카드</t>
        </is>
      </c>
      <c r="E10" s="3" t="inlineStr">
        <is>
          <t>거래유형</t>
        </is>
      </c>
      <c r="F10" s="3" t="inlineStr">
        <is>
          <t>상점/원본설명</t>
        </is>
      </c>
      <c r="G10" s="3" t="inlineStr">
        <is>
          <t>표준상점</t>
        </is>
      </c>
      <c r="H10" s="3" t="inlineStr">
        <is>
          <t>원본_대분류</t>
        </is>
      </c>
      <c r="I10" s="3" t="inlineStr">
        <is>
          <t>원본_세부분류</t>
        </is>
      </c>
      <c r="J10" s="3" t="inlineStr">
        <is>
          <t>상세태그</t>
        </is>
      </c>
      <c r="K10" s="3" t="inlineStr">
        <is>
          <t>원본금액</t>
        </is>
      </c>
      <c r="L10" s="3" t="inlineStr">
        <is>
          <t>지출금액</t>
        </is>
      </c>
      <c r="M10" s="3" t="inlineStr">
        <is>
          <t>환불/크레딧</t>
        </is>
      </c>
      <c r="N10" s="3" t="inlineStr">
        <is>
          <t>결제금액</t>
        </is>
      </c>
      <c r="O10" s="3" t="inlineStr">
        <is>
          <t>순액</t>
        </is>
      </c>
      <c r="P10" s="3" t="inlineStr">
        <is>
          <t>명세서월</t>
        </is>
      </c>
      <c r="Q10" s="3" t="inlineStr">
        <is>
          <t>원본파일</t>
        </is>
      </c>
      <c r="R10" s="3" t="inlineStr">
        <is>
          <t>사용자_대분류</t>
        </is>
      </c>
      <c r="S10" s="3" t="inlineStr">
        <is>
          <t>사용자_세부분류</t>
        </is>
      </c>
      <c r="T10" s="3" t="inlineStr">
        <is>
          <t>사용자_메모</t>
        </is>
      </c>
      <c r="U10" s="3" t="inlineStr">
        <is>
          <t>검토필요</t>
        </is>
      </c>
    </row>
    <row r="11">
      <c r="A11" s="2" t="inlineStr">
        <is>
          <t>20260501-0001</t>
        </is>
      </c>
      <c r="B11" s="8" t="n">
        <v>46143</v>
      </c>
      <c r="C11" s="8" t="n">
        <v>46143</v>
      </c>
      <c r="D11" s="2" t="inlineStr">
        <is>
          <t>Costco Anywhere Visa (Citi) ****6858</t>
        </is>
      </c>
      <c r="E11" s="2" t="inlineStr">
        <is>
          <t>구매</t>
        </is>
      </c>
      <c r="F11" s="2" t="inlineStr">
        <is>
          <t>COSTCO WHSE #0484 OREM UT</t>
        </is>
      </c>
      <c r="G11" s="2" t="inlineStr">
        <is>
          <t>Costco Warehouse</t>
        </is>
      </c>
      <c r="H11" s="2" t="inlineStr">
        <is>
          <t>식료품/생활용품</t>
        </is>
      </c>
      <c r="I11" s="2" t="inlineStr">
        <is>
          <t>Costco 매장</t>
        </is>
      </c>
      <c r="J11" s="2" t="inlineStr">
        <is>
          <t>Costco 매장</t>
        </is>
      </c>
      <c r="K11" s="4" t="n">
        <v>5.94</v>
      </c>
      <c r="L11" s="4">
        <f>IF($E11="구매",$K11,0)</f>
        <v/>
      </c>
      <c r="M11" s="4">
        <f>IF($E11="환불/크레딧",$K11,0)</f>
        <v/>
      </c>
      <c r="N11" s="4">
        <f>IF($E11="결제",$K11,0)</f>
        <v/>
      </c>
      <c r="O11" s="4">
        <f>$K11</f>
        <v/>
      </c>
      <c r="P11" s="2" t="inlineStr">
        <is>
          <t>2026-05</t>
        </is>
      </c>
      <c r="Q11" s="2" t="inlineStr">
        <is>
          <t>May2026_2c5d.pdf</t>
        </is>
      </c>
      <c r="R11" s="2" t="inlineStr"/>
      <c r="S11" s="2" t="inlineStr"/>
      <c r="T11" s="2" t="inlineStr"/>
      <c r="U11" s="2" t="inlineStr"/>
    </row>
    <row r="12">
      <c r="A12" s="2" t="inlineStr">
        <is>
          <t>20260501-0002</t>
        </is>
      </c>
      <c r="B12" s="8" t="n">
        <v>46143</v>
      </c>
      <c r="C12" s="8" t="n"/>
      <c r="D12" s="2" t="inlineStr">
        <is>
          <t>Prime Visa (Chase) ****6217</t>
        </is>
      </c>
      <c r="E12" s="2" t="inlineStr">
        <is>
          <t>구매</t>
        </is>
      </c>
      <c r="F12" s="2" t="inlineStr">
        <is>
          <t>AMAZON MKTPL*BJ9771GJ1 Amzn.com/bill WA</t>
        </is>
      </c>
      <c r="G12" s="2" t="inlineStr">
        <is>
          <t>Amazon</t>
        </is>
      </c>
      <c r="H12" s="2" t="inlineStr">
        <is>
          <t>온라인쇼핑</t>
        </is>
      </c>
      <c r="I12" s="2" t="inlineStr">
        <is>
          <t>Amazon</t>
        </is>
      </c>
      <c r="J12" s="2" t="inlineStr">
        <is>
          <t>Amazon</t>
        </is>
      </c>
      <c r="K12" s="4" t="n">
        <v>15.29</v>
      </c>
      <c r="L12" s="4">
        <f>IF($E12="구매",$K12,0)</f>
        <v/>
      </c>
      <c r="M12" s="4">
        <f>IF($E12="환불/크레딧",$K12,0)</f>
        <v/>
      </c>
      <c r="N12" s="4">
        <f>IF($E12="결제",$K12,0)</f>
        <v/>
      </c>
      <c r="O12" s="4">
        <f>$K12</f>
        <v/>
      </c>
      <c r="P12" s="2" t="inlineStr">
        <is>
          <t>2026-05</t>
        </is>
      </c>
      <c r="Q12" s="2" t="inlineStr">
        <is>
          <t>69212C10-1B95-4A05-9104-379BBA52768F-list_d242.pdf</t>
        </is>
      </c>
      <c r="R12" s="2" t="inlineStr"/>
      <c r="S12" s="2" t="inlineStr"/>
      <c r="T12" s="2" t="inlineStr"/>
      <c r="U12" s="2" t="inlineStr"/>
    </row>
    <row r="13">
      <c r="A13" s="2" t="inlineStr">
        <is>
          <t>20260506-0003</t>
        </is>
      </c>
      <c r="B13" s="8" t="n">
        <v>46148</v>
      </c>
      <c r="C13" s="8" t="n"/>
      <c r="D13" s="2" t="inlineStr">
        <is>
          <t>Prime Visa (Chase) ****6217</t>
        </is>
      </c>
      <c r="E13" s="2" t="inlineStr">
        <is>
          <t>환불/크레딧</t>
        </is>
      </c>
      <c r="F13" s="2" t="inlineStr">
        <is>
          <t>AMAZON MKTPLACE PMTS Amzn.com/bill WA</t>
        </is>
      </c>
      <c r="G13" s="2" t="inlineStr">
        <is>
          <t>Amazon</t>
        </is>
      </c>
      <c r="H13" s="2" t="inlineStr">
        <is>
          <t>환불/크레딧</t>
        </is>
      </c>
      <c r="I13" s="2" t="inlineStr">
        <is>
          <t>환불/반품</t>
        </is>
      </c>
      <c r="J13" s="2" t="inlineStr">
        <is>
          <t>Amazon 환불</t>
        </is>
      </c>
      <c r="K13" s="4" t="n">
        <v>-40.82</v>
      </c>
      <c r="L13" s="4">
        <f>IF($E13="구매",$K13,0)</f>
        <v/>
      </c>
      <c r="M13" s="4">
        <f>IF($E13="환불/크레딧",$K13,0)</f>
        <v/>
      </c>
      <c r="N13" s="4">
        <f>IF($E13="결제",$K13,0)</f>
        <v/>
      </c>
      <c r="O13" s="4">
        <f>$K13</f>
        <v/>
      </c>
      <c r="P13" s="2" t="inlineStr">
        <is>
          <t>2026-05</t>
        </is>
      </c>
      <c r="Q13" s="2" t="inlineStr">
        <is>
          <t>69212C10-1B95-4A05-9104-379BBA52768F-list_d242.pdf</t>
        </is>
      </c>
      <c r="R13" s="2" t="inlineStr"/>
      <c r="S13" s="2" t="inlineStr"/>
      <c r="T13" s="2" t="inlineStr"/>
      <c r="U13" s="2" t="inlineStr"/>
    </row>
    <row r="14">
      <c r="A14" s="2" t="inlineStr">
        <is>
          <t>20260509-0004</t>
        </is>
      </c>
      <c r="B14" s="8" t="n">
        <v>46151</v>
      </c>
      <c r="C14" s="8" t="n">
        <v>46151</v>
      </c>
      <c r="D14" s="2" t="inlineStr">
        <is>
          <t>Costco Anywhere Visa (Citi) ****6858</t>
        </is>
      </c>
      <c r="E14" s="2" t="inlineStr">
        <is>
          <t>구매</t>
        </is>
      </c>
      <c r="F14" s="2" t="inlineStr">
        <is>
          <t>COSTCO GAS #0484 OREM UT</t>
        </is>
      </c>
      <c r="G14" s="2" t="inlineStr">
        <is>
          <t>Costco Gas</t>
        </is>
      </c>
      <c r="H14" s="2" t="inlineStr">
        <is>
          <t>교통/주유</t>
        </is>
      </c>
      <c r="I14" s="2" t="inlineStr">
        <is>
          <t>주유</t>
        </is>
      </c>
      <c r="J14" s="2" t="inlineStr">
        <is>
          <t>Costco Gas</t>
        </is>
      </c>
      <c r="K14" s="4" t="n">
        <v>50.92</v>
      </c>
      <c r="L14" s="4">
        <f>IF($E14="구매",$K14,0)</f>
        <v/>
      </c>
      <c r="M14" s="4">
        <f>IF($E14="환불/크레딧",$K14,0)</f>
        <v/>
      </c>
      <c r="N14" s="4">
        <f>IF($E14="결제",$K14,0)</f>
        <v/>
      </c>
      <c r="O14" s="4">
        <f>$K14</f>
        <v/>
      </c>
      <c r="P14" s="2" t="inlineStr">
        <is>
          <t>2026-06</t>
        </is>
      </c>
      <c r="Q14" s="2" t="inlineStr">
        <is>
          <t>June2026_4656.pdf</t>
        </is>
      </c>
      <c r="R14" s="2" t="inlineStr"/>
      <c r="S14" s="2" t="inlineStr"/>
      <c r="T14" s="2" t="inlineStr"/>
      <c r="U14" s="2" t="inlineStr"/>
    </row>
    <row r="15">
      <c r="A15" s="2" t="inlineStr">
        <is>
          <t>20260509-0005</t>
        </is>
      </c>
      <c r="B15" s="8" t="n">
        <v>46151</v>
      </c>
      <c r="C15" s="8" t="n">
        <v>46151</v>
      </c>
      <c r="D15" s="2" t="inlineStr">
        <is>
          <t>Costco Anywhere Visa (Citi) ****6858</t>
        </is>
      </c>
      <c r="E15" s="2" t="inlineStr">
        <is>
          <t>구매</t>
        </is>
      </c>
      <c r="F15" s="2" t="inlineStr">
        <is>
          <t>COSTCO WHSE #0484 OREM UT</t>
        </is>
      </c>
      <c r="G15" s="2" t="inlineStr">
        <is>
          <t>Costco Warehouse</t>
        </is>
      </c>
      <c r="H15" s="2" t="inlineStr">
        <is>
          <t>식료품/생활용품</t>
        </is>
      </c>
      <c r="I15" s="2" t="inlineStr">
        <is>
          <t>Costco 매장</t>
        </is>
      </c>
      <c r="J15" s="2" t="inlineStr">
        <is>
          <t>Costco 매장</t>
        </is>
      </c>
      <c r="K15" s="4" t="n">
        <v>99.89</v>
      </c>
      <c r="L15" s="4">
        <f>IF($E15="구매",$K15,0)</f>
        <v/>
      </c>
      <c r="M15" s="4">
        <f>IF($E15="환불/크레딧",$K15,0)</f>
        <v/>
      </c>
      <c r="N15" s="4">
        <f>IF($E15="결제",$K15,0)</f>
        <v/>
      </c>
      <c r="O15" s="4">
        <f>$K15</f>
        <v/>
      </c>
      <c r="P15" s="2" t="inlineStr">
        <is>
          <t>2026-06</t>
        </is>
      </c>
      <c r="Q15" s="2" t="inlineStr">
        <is>
          <t>June2026_4656.pdf</t>
        </is>
      </c>
      <c r="R15" s="2" t="inlineStr"/>
      <c r="S15" s="2" t="inlineStr"/>
      <c r="T15" s="2" t="inlineStr"/>
      <c r="U15" s="2" t="inlineStr"/>
    </row>
    <row r="16">
      <c r="A16" s="2" t="inlineStr">
        <is>
          <t>20260509-0006</t>
        </is>
      </c>
      <c r="B16" s="8" t="n">
        <v>46151</v>
      </c>
      <c r="C16" s="8" t="n"/>
      <c r="D16" s="2" t="inlineStr">
        <is>
          <t>Prime Visa (Chase) ****6217</t>
        </is>
      </c>
      <c r="E16" s="2" t="inlineStr">
        <is>
          <t>구매</t>
        </is>
      </c>
      <c r="F16" s="2" t="inlineStr">
        <is>
          <t>AMAZON MKTPL*BV5M29LZ0 Amzn.com/bill WA</t>
        </is>
      </c>
      <c r="G16" s="2" t="inlineStr">
        <is>
          <t>Amazon</t>
        </is>
      </c>
      <c r="H16" s="2" t="inlineStr">
        <is>
          <t>온라인쇼핑</t>
        </is>
      </c>
      <c r="I16" s="2" t="inlineStr">
        <is>
          <t>Amazon</t>
        </is>
      </c>
      <c r="J16" s="2" t="inlineStr">
        <is>
          <t>Amazon</t>
        </is>
      </c>
      <c r="K16" s="4" t="n">
        <v>6.94</v>
      </c>
      <c r="L16" s="4">
        <f>IF($E16="구매",$K16,0)</f>
        <v/>
      </c>
      <c r="M16" s="4">
        <f>IF($E16="환불/크레딧",$K16,0)</f>
        <v/>
      </c>
      <c r="N16" s="4">
        <f>IF($E16="결제",$K16,0)</f>
        <v/>
      </c>
      <c r="O16" s="4">
        <f>$K16</f>
        <v/>
      </c>
      <c r="P16" s="2" t="inlineStr">
        <is>
          <t>2026-05</t>
        </is>
      </c>
      <c r="Q16" s="2" t="inlineStr">
        <is>
          <t>69212C10-1B95-4A05-9104-379BBA52768F-list_d242.pdf</t>
        </is>
      </c>
      <c r="R16" s="2" t="inlineStr"/>
      <c r="S16" s="2" t="inlineStr"/>
      <c r="T16" s="2" t="inlineStr"/>
      <c r="U16" s="2" t="inlineStr"/>
    </row>
    <row r="17">
      <c r="A17" s="2" t="inlineStr">
        <is>
          <t>20260510-0007</t>
        </is>
      </c>
      <c r="B17" s="8" t="n">
        <v>46152</v>
      </c>
      <c r="C17" s="8" t="n">
        <v>46152</v>
      </c>
      <c r="D17" s="2" t="inlineStr">
        <is>
          <t>Costco Anywhere Visa (Citi) ****6858</t>
        </is>
      </c>
      <c r="E17" s="2" t="inlineStr">
        <is>
          <t>구매</t>
        </is>
      </c>
      <c r="F17" s="2" t="inlineStr">
        <is>
          <t>Nintendo CC1626816227 800-2553700 WA</t>
        </is>
      </c>
      <c r="G17" s="2" t="inlineStr">
        <is>
          <t>Nintendo</t>
        </is>
      </c>
      <c r="H17" s="2" t="inlineStr">
        <is>
          <t>엔터테인먼트</t>
        </is>
      </c>
      <c r="I17" s="2" t="inlineStr">
        <is>
          <t>게임/디지털</t>
        </is>
      </c>
      <c r="J17" s="2" t="inlineStr">
        <is>
          <t>게임/디지털</t>
        </is>
      </c>
      <c r="K17" s="4" t="n">
        <v>64.45999999999999</v>
      </c>
      <c r="L17" s="4">
        <f>IF($E17="구매",$K17,0)</f>
        <v/>
      </c>
      <c r="M17" s="4">
        <f>IF($E17="환불/크레딧",$K17,0)</f>
        <v/>
      </c>
      <c r="N17" s="4">
        <f>IF($E17="결제",$K17,0)</f>
        <v/>
      </c>
      <c r="O17" s="4">
        <f>$K17</f>
        <v/>
      </c>
      <c r="P17" s="2" t="inlineStr">
        <is>
          <t>2026-06</t>
        </is>
      </c>
      <c r="Q17" s="2" t="inlineStr">
        <is>
          <t>June2026_4656.pdf</t>
        </is>
      </c>
      <c r="R17" s="2" t="inlineStr"/>
      <c r="S17" s="2" t="inlineStr"/>
      <c r="T17" s="2" t="inlineStr"/>
      <c r="U17" s="2" t="inlineStr"/>
    </row>
    <row r="18">
      <c r="A18" s="2" t="inlineStr">
        <is>
          <t>20260510-0008</t>
        </is>
      </c>
      <c r="B18" s="8" t="n">
        <v>46152</v>
      </c>
      <c r="C18" s="8" t="n"/>
      <c r="D18" s="2" t="inlineStr">
        <is>
          <t>Prime Visa (Chase) ****6217</t>
        </is>
      </c>
      <c r="E18" s="2" t="inlineStr">
        <is>
          <t>구매</t>
        </is>
      </c>
      <c r="F18" s="2" t="inlineStr">
        <is>
          <t>AMAZON MKTPL*BV3ZY9YE1 Amzn.com/bill WA</t>
        </is>
      </c>
      <c r="G18" s="2" t="inlineStr">
        <is>
          <t>Amazon</t>
        </is>
      </c>
      <c r="H18" s="2" t="inlineStr">
        <is>
          <t>온라인쇼핑</t>
        </is>
      </c>
      <c r="I18" s="2" t="inlineStr">
        <is>
          <t>Amazon</t>
        </is>
      </c>
      <c r="J18" s="2" t="inlineStr">
        <is>
          <t>Amazon</t>
        </is>
      </c>
      <c r="K18" s="4" t="n">
        <v>47.36</v>
      </c>
      <c r="L18" s="4">
        <f>IF($E18="구매",$K18,0)</f>
        <v/>
      </c>
      <c r="M18" s="4">
        <f>IF($E18="환불/크레딧",$K18,0)</f>
        <v/>
      </c>
      <c r="N18" s="4">
        <f>IF($E18="결제",$K18,0)</f>
        <v/>
      </c>
      <c r="O18" s="4">
        <f>$K18</f>
        <v/>
      </c>
      <c r="P18" s="2" t="inlineStr">
        <is>
          <t>2026-05</t>
        </is>
      </c>
      <c r="Q18" s="2" t="inlineStr">
        <is>
          <t>69212C10-1B95-4A05-9104-379BBA52768F-list_d242.pdf</t>
        </is>
      </c>
      <c r="R18" s="2" t="inlineStr"/>
      <c r="S18" s="2" t="inlineStr"/>
      <c r="T18" s="2" t="inlineStr"/>
      <c r="U18" s="2" t="inlineStr"/>
    </row>
    <row r="19">
      <c r="A19" s="2" t="inlineStr">
        <is>
          <t>20260510-0009</t>
        </is>
      </c>
      <c r="B19" s="8" t="n">
        <v>46152</v>
      </c>
      <c r="C19" s="8" t="n"/>
      <c r="D19" s="2" t="inlineStr">
        <is>
          <t>Prime Visa (Chase) ****6217</t>
        </is>
      </c>
      <c r="E19" s="2" t="inlineStr">
        <is>
          <t>구매</t>
        </is>
      </c>
      <c r="F19" s="2" t="inlineStr">
        <is>
          <t>AMAZON MKTPL*EY6229ND3 Amzn.com/bill WA</t>
        </is>
      </c>
      <c r="G19" s="2" t="inlineStr">
        <is>
          <t>Amazon</t>
        </is>
      </c>
      <c r="H19" s="2" t="inlineStr">
        <is>
          <t>온라인쇼핑</t>
        </is>
      </c>
      <c r="I19" s="2" t="inlineStr">
        <is>
          <t>Amazon</t>
        </is>
      </c>
      <c r="J19" s="2" t="inlineStr">
        <is>
          <t>Amazon</t>
        </is>
      </c>
      <c r="K19" s="4" t="n">
        <v>12.35</v>
      </c>
      <c r="L19" s="4">
        <f>IF($E19="구매",$K19,0)</f>
        <v/>
      </c>
      <c r="M19" s="4">
        <f>IF($E19="환불/크레딧",$K19,0)</f>
        <v/>
      </c>
      <c r="N19" s="4">
        <f>IF($E19="결제",$K19,0)</f>
        <v/>
      </c>
      <c r="O19" s="4">
        <f>$K19</f>
        <v/>
      </c>
      <c r="P19" s="2" t="inlineStr">
        <is>
          <t>2026-05</t>
        </is>
      </c>
      <c r="Q19" s="2" t="inlineStr">
        <is>
          <t>69212C10-1B95-4A05-9104-379BBA52768F-list_d242.pdf</t>
        </is>
      </c>
      <c r="R19" s="2" t="inlineStr"/>
      <c r="S19" s="2" t="inlineStr"/>
      <c r="T19" s="2" t="inlineStr"/>
      <c r="U19" s="2" t="inlineStr"/>
    </row>
    <row r="20">
      <c r="A20" s="2" t="inlineStr">
        <is>
          <t>20260510-0010</t>
        </is>
      </c>
      <c r="B20" s="8" t="n">
        <v>46152</v>
      </c>
      <c r="C20" s="8" t="n"/>
      <c r="D20" s="2" t="inlineStr">
        <is>
          <t>Prime Visa (Chase) ****6217</t>
        </is>
      </c>
      <c r="E20" s="2" t="inlineStr">
        <is>
          <t>구매</t>
        </is>
      </c>
      <c r="F20" s="2" t="inlineStr">
        <is>
          <t>Amazon.com*BV9MS0AP0 Amzn.com/bill WA</t>
        </is>
      </c>
      <c r="G20" s="2" t="inlineStr">
        <is>
          <t>Amazon</t>
        </is>
      </c>
      <c r="H20" s="2" t="inlineStr">
        <is>
          <t>온라인쇼핑</t>
        </is>
      </c>
      <c r="I20" s="2" t="inlineStr">
        <is>
          <t>Amazon</t>
        </is>
      </c>
      <c r="J20" s="2" t="inlineStr">
        <is>
          <t>Amazon</t>
        </is>
      </c>
      <c r="K20" s="4" t="n">
        <v>19.1</v>
      </c>
      <c r="L20" s="4">
        <f>IF($E20="구매",$K20,0)</f>
        <v/>
      </c>
      <c r="M20" s="4">
        <f>IF($E20="환불/크레딧",$K20,0)</f>
        <v/>
      </c>
      <c r="N20" s="4">
        <f>IF($E20="결제",$K20,0)</f>
        <v/>
      </c>
      <c r="O20" s="4">
        <f>$K20</f>
        <v/>
      </c>
      <c r="P20" s="2" t="inlineStr">
        <is>
          <t>2026-05</t>
        </is>
      </c>
      <c r="Q20" s="2" t="inlineStr">
        <is>
          <t>69212C10-1B95-4A05-9104-379BBA52768F-list_d242.pdf</t>
        </is>
      </c>
      <c r="R20" s="2" t="inlineStr"/>
      <c r="S20" s="2" t="inlineStr"/>
      <c r="T20" s="2" t="inlineStr"/>
      <c r="U20" s="2" t="inlineStr"/>
    </row>
    <row r="21">
      <c r="A21" s="2" t="inlineStr">
        <is>
          <t>20260511-0011</t>
        </is>
      </c>
      <c r="B21" s="8" t="n">
        <v>46153</v>
      </c>
      <c r="C21" s="8" t="n">
        <v>46153</v>
      </c>
      <c r="D21" s="2" t="inlineStr">
        <is>
          <t>Costco Anywhere Visa (Citi) ****6858</t>
        </is>
      </c>
      <c r="E21" s="2" t="inlineStr">
        <is>
          <t>구매</t>
        </is>
      </c>
      <c r="F21" s="2" t="inlineStr">
        <is>
          <t>PROGRESSIVE INS 800-776-4737 OH</t>
        </is>
      </c>
      <c r="G21" s="2" t="inlineStr">
        <is>
          <t>Progressive Insurance</t>
        </is>
      </c>
      <c r="H21" s="2" t="inlineStr">
        <is>
          <t>보험</t>
        </is>
      </c>
      <c r="I21" s="2" t="inlineStr">
        <is>
          <t>자동차보험</t>
        </is>
      </c>
      <c r="J21" s="2" t="inlineStr">
        <is>
          <t>자동차보험</t>
        </is>
      </c>
      <c r="K21" s="4" t="n">
        <v>440</v>
      </c>
      <c r="L21" s="4">
        <f>IF($E21="구매",$K21,0)</f>
        <v/>
      </c>
      <c r="M21" s="4">
        <f>IF($E21="환불/크레딧",$K21,0)</f>
        <v/>
      </c>
      <c r="N21" s="4">
        <f>IF($E21="결제",$K21,0)</f>
        <v/>
      </c>
      <c r="O21" s="4">
        <f>$K21</f>
        <v/>
      </c>
      <c r="P21" s="2" t="inlineStr">
        <is>
          <t>2026-06</t>
        </is>
      </c>
      <c r="Q21" s="2" t="inlineStr">
        <is>
          <t>June2026_4656.pdf</t>
        </is>
      </c>
      <c r="R21" s="2" t="inlineStr"/>
      <c r="S21" s="2" t="inlineStr"/>
      <c r="T21" s="2" t="inlineStr"/>
      <c r="U21" s="2" t="inlineStr"/>
    </row>
    <row r="22">
      <c r="A22" s="2" t="inlineStr">
        <is>
          <t>20260511-0012</t>
        </is>
      </c>
      <c r="B22" s="8" t="n">
        <v>46153</v>
      </c>
      <c r="C22" s="8" t="n"/>
      <c r="D22" s="2" t="inlineStr">
        <is>
          <t>Prime Visa (Chase) ****6217</t>
        </is>
      </c>
      <c r="E22" s="2" t="inlineStr">
        <is>
          <t>결제</t>
        </is>
      </c>
      <c r="F22" s="2" t="inlineStr">
        <is>
          <t>Payment Thank You-Mobile</t>
        </is>
      </c>
      <c r="G22" s="2" t="inlineStr">
        <is>
          <t>Card Payment</t>
        </is>
      </c>
      <c r="H22" s="2" t="inlineStr">
        <is>
          <t>결제/이체</t>
        </is>
      </c>
      <c r="I22" s="2" t="inlineStr">
        <is>
          <t>카드대금 결제</t>
        </is>
      </c>
      <c r="J22" s="2" t="inlineStr">
        <is>
          <t>카드결제</t>
        </is>
      </c>
      <c r="K22" s="4" t="n">
        <v>-43.59</v>
      </c>
      <c r="L22" s="4">
        <f>IF($E22="구매",$K22,0)</f>
        <v/>
      </c>
      <c r="M22" s="4">
        <f>IF($E22="환불/크레딧",$K22,0)</f>
        <v/>
      </c>
      <c r="N22" s="4">
        <f>IF($E22="결제",$K22,0)</f>
        <v/>
      </c>
      <c r="O22" s="4">
        <f>$K22</f>
        <v/>
      </c>
      <c r="P22" s="2" t="inlineStr">
        <is>
          <t>2026-05</t>
        </is>
      </c>
      <c r="Q22" s="2" t="inlineStr">
        <is>
          <t>69212C10-1B95-4A05-9104-379BBA52768F-list_d242.pdf</t>
        </is>
      </c>
      <c r="R22" s="2" t="inlineStr"/>
      <c r="S22" s="2" t="inlineStr"/>
      <c r="T22" s="2" t="inlineStr"/>
      <c r="U22" s="2" t="inlineStr"/>
    </row>
    <row r="23">
      <c r="A23" s="2" t="inlineStr">
        <is>
          <t>20260513-0013</t>
        </is>
      </c>
      <c r="B23" s="8" t="n">
        <v>46155</v>
      </c>
      <c r="C23" s="8" t="n"/>
      <c r="D23" s="2" t="inlineStr">
        <is>
          <t>Prime Visa (Chase) ****6217</t>
        </is>
      </c>
      <c r="E23" s="2" t="inlineStr">
        <is>
          <t>구매</t>
        </is>
      </c>
      <c r="F23" s="2" t="inlineStr">
        <is>
          <t>Amazon.com*BF33X4XD1 Amzn.com/bill WA</t>
        </is>
      </c>
      <c r="G23" s="2" t="inlineStr">
        <is>
          <t>Amazon</t>
        </is>
      </c>
      <c r="H23" s="2" t="inlineStr">
        <is>
          <t>온라인쇼핑</t>
        </is>
      </c>
      <c r="I23" s="2" t="inlineStr">
        <is>
          <t>Amazon</t>
        </is>
      </c>
      <c r="J23" s="2" t="inlineStr">
        <is>
          <t>Amazon</t>
        </is>
      </c>
      <c r="K23" s="4" t="n">
        <v>5.45</v>
      </c>
      <c r="L23" s="4">
        <f>IF($E23="구매",$K23,0)</f>
        <v/>
      </c>
      <c r="M23" s="4">
        <f>IF($E23="환불/크레딧",$K23,0)</f>
        <v/>
      </c>
      <c r="N23" s="4">
        <f>IF($E23="결제",$K23,0)</f>
        <v/>
      </c>
      <c r="O23" s="4">
        <f>$K23</f>
        <v/>
      </c>
      <c r="P23" s="2" t="inlineStr">
        <is>
          <t>2026-05</t>
        </is>
      </c>
      <c r="Q23" s="2" t="inlineStr">
        <is>
          <t>69212C10-1B95-4A05-9104-379BBA52768F-list_d242.pdf</t>
        </is>
      </c>
      <c r="R23" s="2" t="inlineStr"/>
      <c r="S23" s="2" t="inlineStr"/>
      <c r="T23" s="2" t="inlineStr"/>
      <c r="U23" s="2" t="inlineStr"/>
    </row>
    <row r="24">
      <c r="A24" s="2" t="inlineStr">
        <is>
          <t>20260514-0014</t>
        </is>
      </c>
      <c r="B24" s="8" t="n">
        <v>46156</v>
      </c>
      <c r="C24" s="8" t="n"/>
      <c r="D24" s="2" t="inlineStr">
        <is>
          <t>Prime Visa (Chase) ****6217</t>
        </is>
      </c>
      <c r="E24" s="2" t="inlineStr">
        <is>
          <t>결제</t>
        </is>
      </c>
      <c r="F24" s="2" t="inlineStr">
        <is>
          <t>Payment Thank You-Mobile</t>
        </is>
      </c>
      <c r="G24" s="2" t="inlineStr">
        <is>
          <t>Card Payment</t>
        </is>
      </c>
      <c r="H24" s="2" t="inlineStr">
        <is>
          <t>결제/이체</t>
        </is>
      </c>
      <c r="I24" s="2" t="inlineStr">
        <is>
          <t>카드대금 결제</t>
        </is>
      </c>
      <c r="J24" s="2" t="inlineStr">
        <is>
          <t>카드결제</t>
        </is>
      </c>
      <c r="K24" s="4" t="n">
        <v>-122.66</v>
      </c>
      <c r="L24" s="4">
        <f>IF($E24="구매",$K24,0)</f>
        <v/>
      </c>
      <c r="M24" s="4">
        <f>IF($E24="환불/크레딧",$K24,0)</f>
        <v/>
      </c>
      <c r="N24" s="4">
        <f>IF($E24="결제",$K24,0)</f>
        <v/>
      </c>
      <c r="O24" s="4">
        <f>$K24</f>
        <v/>
      </c>
      <c r="P24" s="2" t="inlineStr">
        <is>
          <t>2026-05</t>
        </is>
      </c>
      <c r="Q24" s="2" t="inlineStr">
        <is>
          <t>69212C10-1B95-4A05-9104-379BBA52768F-list_d242.pdf</t>
        </is>
      </c>
      <c r="R24" s="2" t="inlineStr"/>
      <c r="S24" s="2" t="inlineStr"/>
      <c r="T24" s="2" t="inlineStr"/>
      <c r="U24" s="2" t="inlineStr"/>
    </row>
    <row r="25">
      <c r="A25" s="2" t="inlineStr">
        <is>
          <t>20260516-0015</t>
        </is>
      </c>
      <c r="B25" s="8" t="n">
        <v>46158</v>
      </c>
      <c r="C25" s="8" t="n"/>
      <c r="D25" s="2" t="inlineStr">
        <is>
          <t>Prime Visa (Chase) ****6217</t>
        </is>
      </c>
      <c r="E25" s="2" t="inlineStr">
        <is>
          <t>구매</t>
        </is>
      </c>
      <c r="F25" s="2" t="inlineStr">
        <is>
          <t>AMAZON MKTPL*ER9F60UX3 Amzn.com/bill WA</t>
        </is>
      </c>
      <c r="G25" s="2" t="inlineStr">
        <is>
          <t>Amazon</t>
        </is>
      </c>
      <c r="H25" s="2" t="inlineStr">
        <is>
          <t>온라인쇼핑</t>
        </is>
      </c>
      <c r="I25" s="2" t="inlineStr">
        <is>
          <t>Amazon</t>
        </is>
      </c>
      <c r="J25" s="2" t="inlineStr">
        <is>
          <t>Amazon</t>
        </is>
      </c>
      <c r="K25" s="4" t="n">
        <v>10.45</v>
      </c>
      <c r="L25" s="4">
        <f>IF($E25="구매",$K25,0)</f>
        <v/>
      </c>
      <c r="M25" s="4">
        <f>IF($E25="환불/크레딧",$K25,0)</f>
        <v/>
      </c>
      <c r="N25" s="4">
        <f>IF($E25="결제",$K25,0)</f>
        <v/>
      </c>
      <c r="O25" s="4">
        <f>$K25</f>
        <v/>
      </c>
      <c r="P25" s="2" t="inlineStr">
        <is>
          <t>2026-05</t>
        </is>
      </c>
      <c r="Q25" s="2" t="inlineStr">
        <is>
          <t>69212C10-1B95-4A05-9104-379BBA52768F-list_d242.pdf</t>
        </is>
      </c>
      <c r="R25" s="2" t="inlineStr"/>
      <c r="S25" s="2" t="inlineStr"/>
      <c r="T25" s="2" t="inlineStr"/>
      <c r="U25" s="2" t="inlineStr"/>
    </row>
    <row r="26">
      <c r="A26" s="2" t="inlineStr">
        <is>
          <t>20260519-0016</t>
        </is>
      </c>
      <c r="B26" s="8" t="n">
        <v>46161</v>
      </c>
      <c r="C26" s="8" t="n"/>
      <c r="D26" s="2" t="inlineStr">
        <is>
          <t>Prime Visa (Chase) ****6217</t>
        </is>
      </c>
      <c r="E26" s="2" t="inlineStr">
        <is>
          <t>구매</t>
        </is>
      </c>
      <c r="F26" s="2" t="inlineStr">
        <is>
          <t>Amazon.com*G664H3SK3 Amzn.com/bill WA</t>
        </is>
      </c>
      <c r="G26" s="2" t="inlineStr">
        <is>
          <t>Amazon</t>
        </is>
      </c>
      <c r="H26" s="2" t="inlineStr">
        <is>
          <t>온라인쇼핑</t>
        </is>
      </c>
      <c r="I26" s="2" t="inlineStr">
        <is>
          <t>Amazon</t>
        </is>
      </c>
      <c r="J26" s="2" t="inlineStr">
        <is>
          <t>Amazon</t>
        </is>
      </c>
      <c r="K26" s="4" t="n">
        <v>6.99</v>
      </c>
      <c r="L26" s="4">
        <f>IF($E26="구매",$K26,0)</f>
        <v/>
      </c>
      <c r="M26" s="4">
        <f>IF($E26="환불/크레딧",$K26,0)</f>
        <v/>
      </c>
      <c r="N26" s="4">
        <f>IF($E26="결제",$K26,0)</f>
        <v/>
      </c>
      <c r="O26" s="4">
        <f>$K26</f>
        <v/>
      </c>
      <c r="P26" s="2" t="inlineStr">
        <is>
          <t>2026-05</t>
        </is>
      </c>
      <c r="Q26" s="2" t="inlineStr">
        <is>
          <t>69212C10-1B95-4A05-9104-379BBA52768F-list_d242.pdf</t>
        </is>
      </c>
      <c r="R26" s="2" t="inlineStr"/>
      <c r="S26" s="2" t="inlineStr"/>
      <c r="T26" s="2" t="inlineStr"/>
      <c r="U26" s="2" t="inlineStr"/>
    </row>
    <row r="27">
      <c r="A27" s="2" t="inlineStr">
        <is>
          <t>20260520-0017</t>
        </is>
      </c>
      <c r="B27" s="8" t="n">
        <v>46162</v>
      </c>
      <c r="C27" s="8" t="n"/>
      <c r="D27" s="2" t="inlineStr">
        <is>
          <t>Costco Anywhere Visa (Citi) ****6858</t>
        </is>
      </c>
      <c r="E27" s="2" t="inlineStr">
        <is>
          <t>결제</t>
        </is>
      </c>
      <c r="F27" s="2" t="inlineStr">
        <is>
          <t>ONLINE PAYMENT, THANK YOU</t>
        </is>
      </c>
      <c r="G27" s="2" t="inlineStr">
        <is>
          <t>Card Payment</t>
        </is>
      </c>
      <c r="H27" s="2" t="inlineStr">
        <is>
          <t>결제/이체</t>
        </is>
      </c>
      <c r="I27" s="2" t="inlineStr">
        <is>
          <t>카드대금 결제</t>
        </is>
      </c>
      <c r="J27" s="2" t="inlineStr">
        <is>
          <t>카드결제</t>
        </is>
      </c>
      <c r="K27" s="4" t="n">
        <v>-718.39</v>
      </c>
      <c r="L27" s="4">
        <f>IF($E27="구매",$K27,0)</f>
        <v/>
      </c>
      <c r="M27" s="4">
        <f>IF($E27="환불/크레딧",$K27,0)</f>
        <v/>
      </c>
      <c r="N27" s="4">
        <f>IF($E27="결제",$K27,0)</f>
        <v/>
      </c>
      <c r="O27" s="4">
        <f>$K27</f>
        <v/>
      </c>
      <c r="P27" s="2" t="inlineStr">
        <is>
          <t>2026-06</t>
        </is>
      </c>
      <c r="Q27" s="2" t="inlineStr">
        <is>
          <t>June2026_4656.pdf</t>
        </is>
      </c>
      <c r="R27" s="2" t="inlineStr"/>
      <c r="S27" s="2" t="inlineStr"/>
      <c r="T27" s="2" t="inlineStr"/>
      <c r="U27" s="2" t="inlineStr"/>
    </row>
    <row r="28">
      <c r="A28" s="2" t="inlineStr">
        <is>
          <t>20260522-0018</t>
        </is>
      </c>
      <c r="B28" s="8" t="n">
        <v>46164</v>
      </c>
      <c r="C28" s="8" t="n"/>
      <c r="D28" s="2" t="inlineStr">
        <is>
          <t>Prime Visa (Chase) ****6217</t>
        </is>
      </c>
      <c r="E28" s="2" t="inlineStr">
        <is>
          <t>구매</t>
        </is>
      </c>
      <c r="F28" s="2" t="inlineStr">
        <is>
          <t>Amazon.com*6C6U95K13 Amzn.com/bill WA</t>
        </is>
      </c>
      <c r="G28" s="2" t="inlineStr">
        <is>
          <t>Amazon</t>
        </is>
      </c>
      <c r="H28" s="2" t="inlineStr">
        <is>
          <t>온라인쇼핑</t>
        </is>
      </c>
      <c r="I28" s="2" t="inlineStr">
        <is>
          <t>Amazon</t>
        </is>
      </c>
      <c r="J28" s="2" t="inlineStr">
        <is>
          <t>Amazon</t>
        </is>
      </c>
      <c r="K28" s="4" t="n">
        <v>14.99</v>
      </c>
      <c r="L28" s="4">
        <f>IF($E28="구매",$K28,0)</f>
        <v/>
      </c>
      <c r="M28" s="4">
        <f>IF($E28="환불/크레딧",$K28,0)</f>
        <v/>
      </c>
      <c r="N28" s="4">
        <f>IF($E28="결제",$K28,0)</f>
        <v/>
      </c>
      <c r="O28" s="4">
        <f>$K28</f>
        <v/>
      </c>
      <c r="P28" s="2" t="inlineStr">
        <is>
          <t>2026-05</t>
        </is>
      </c>
      <c r="Q28" s="2" t="inlineStr">
        <is>
          <t>69212C10-1B95-4A05-9104-379BBA52768F-list_d242.pdf</t>
        </is>
      </c>
      <c r="R28" s="2" t="inlineStr"/>
      <c r="S28" s="2" t="inlineStr"/>
      <c r="T28" s="2" t="inlineStr"/>
      <c r="U28" s="2" t="inlineStr"/>
    </row>
    <row r="29">
      <c r="A29" s="2" t="inlineStr">
        <is>
          <t>20260523-0019</t>
        </is>
      </c>
      <c r="B29" s="8" t="n">
        <v>46165</v>
      </c>
      <c r="C29" s="8" t="n">
        <v>46165</v>
      </c>
      <c r="D29" s="2" t="inlineStr">
        <is>
          <t>Costco Anywhere Visa (Citi) ****6858</t>
        </is>
      </c>
      <c r="E29" s="2" t="inlineStr">
        <is>
          <t>구매</t>
        </is>
      </c>
      <c r="F29" s="2" t="inlineStr">
        <is>
          <t>COSTCO GAS #0484 OREM UT</t>
        </is>
      </c>
      <c r="G29" s="2" t="inlineStr">
        <is>
          <t>Costco Gas</t>
        </is>
      </c>
      <c r="H29" s="2" t="inlineStr">
        <is>
          <t>교통/주유</t>
        </is>
      </c>
      <c r="I29" s="2" t="inlineStr">
        <is>
          <t>주유</t>
        </is>
      </c>
      <c r="J29" s="2" t="inlineStr">
        <is>
          <t>Costco Gas</t>
        </is>
      </c>
      <c r="K29" s="4" t="n">
        <v>55.74</v>
      </c>
      <c r="L29" s="4">
        <f>IF($E29="구매",$K29,0)</f>
        <v/>
      </c>
      <c r="M29" s="4">
        <f>IF($E29="환불/크레딧",$K29,0)</f>
        <v/>
      </c>
      <c r="N29" s="4">
        <f>IF($E29="결제",$K29,0)</f>
        <v/>
      </c>
      <c r="O29" s="4">
        <f>$K29</f>
        <v/>
      </c>
      <c r="P29" s="2" t="inlineStr">
        <is>
          <t>2026-06</t>
        </is>
      </c>
      <c r="Q29" s="2" t="inlineStr">
        <is>
          <t>June2026_4656.pdf</t>
        </is>
      </c>
      <c r="R29" s="2" t="inlineStr"/>
      <c r="S29" s="2" t="inlineStr"/>
      <c r="T29" s="2" t="inlineStr"/>
      <c r="U29" s="2" t="inlineStr"/>
    </row>
    <row r="30">
      <c r="A30" s="2" t="inlineStr">
        <is>
          <t>20260523-0020</t>
        </is>
      </c>
      <c r="B30" s="8" t="n">
        <v>46165</v>
      </c>
      <c r="C30" s="8" t="n">
        <v>46165</v>
      </c>
      <c r="D30" s="2" t="inlineStr">
        <is>
          <t>Costco Anywhere Visa (Citi) ****6858</t>
        </is>
      </c>
      <c r="E30" s="2" t="inlineStr">
        <is>
          <t>구매</t>
        </is>
      </c>
      <c r="F30" s="2" t="inlineStr">
        <is>
          <t>COSTCO WHSE #0484 OREM UT</t>
        </is>
      </c>
      <c r="G30" s="2" t="inlineStr">
        <is>
          <t>Costco Warehouse</t>
        </is>
      </c>
      <c r="H30" s="2" t="inlineStr">
        <is>
          <t>식료품/생활용품</t>
        </is>
      </c>
      <c r="I30" s="2" t="inlineStr">
        <is>
          <t>Costco 매장</t>
        </is>
      </c>
      <c r="J30" s="2" t="inlineStr">
        <is>
          <t>Costco 매장</t>
        </is>
      </c>
      <c r="K30" s="4" t="n">
        <v>2.16</v>
      </c>
      <c r="L30" s="4">
        <f>IF($E30="구매",$K30,0)</f>
        <v/>
      </c>
      <c r="M30" s="4">
        <f>IF($E30="환불/크레딧",$K30,0)</f>
        <v/>
      </c>
      <c r="N30" s="4">
        <f>IF($E30="결제",$K30,0)</f>
        <v/>
      </c>
      <c r="O30" s="4">
        <f>$K30</f>
        <v/>
      </c>
      <c r="P30" s="2" t="inlineStr">
        <is>
          <t>2026-06</t>
        </is>
      </c>
      <c r="Q30" s="2" t="inlineStr">
        <is>
          <t>June2026_4656.pdf</t>
        </is>
      </c>
      <c r="R30" s="2" t="inlineStr"/>
      <c r="S30" s="2" t="inlineStr"/>
      <c r="T30" s="2" t="inlineStr"/>
      <c r="U30" s="2" t="inlineStr"/>
    </row>
    <row r="31">
      <c r="A31" s="2" t="inlineStr">
        <is>
          <t>20260523-0021</t>
        </is>
      </c>
      <c r="B31" s="8" t="n">
        <v>46165</v>
      </c>
      <c r="C31" s="8" t="n"/>
      <c r="D31" s="2" t="inlineStr">
        <is>
          <t>Prime Visa (Chase) ****6217</t>
        </is>
      </c>
      <c r="E31" s="2" t="inlineStr">
        <is>
          <t>환불/크레딧</t>
        </is>
      </c>
      <c r="F31" s="2" t="inlineStr">
        <is>
          <t>AMAZON MKTPLACE PMTS Amzn.com/bill WA</t>
        </is>
      </c>
      <c r="G31" s="2" t="inlineStr">
        <is>
          <t>Amazon</t>
        </is>
      </c>
      <c r="H31" s="2" t="inlineStr">
        <is>
          <t>환불/크레딧</t>
        </is>
      </c>
      <c r="I31" s="2" t="inlineStr">
        <is>
          <t>환불/반품</t>
        </is>
      </c>
      <c r="J31" s="2" t="inlineStr">
        <is>
          <t>Amazon 환불</t>
        </is>
      </c>
      <c r="K31" s="4" t="n">
        <v>-43.59</v>
      </c>
      <c r="L31" s="4">
        <f>IF($E31="구매",$K31,0)</f>
        <v/>
      </c>
      <c r="M31" s="4">
        <f>IF($E31="환불/크레딧",$K31,0)</f>
        <v/>
      </c>
      <c r="N31" s="4">
        <f>IF($E31="결제",$K31,0)</f>
        <v/>
      </c>
      <c r="O31" s="4">
        <f>$K31</f>
        <v/>
      </c>
      <c r="P31" s="2" t="inlineStr">
        <is>
          <t>2026-05</t>
        </is>
      </c>
      <c r="Q31" s="2" t="inlineStr">
        <is>
          <t>69212C10-1B95-4A05-9104-379BBA52768F-list_d242.pdf</t>
        </is>
      </c>
      <c r="R31" s="2" t="inlineStr"/>
      <c r="S31" s="2" t="inlineStr"/>
      <c r="T31" s="2" t="inlineStr"/>
      <c r="U31" s="2" t="inlineStr"/>
    </row>
    <row r="32">
      <c r="A32" s="2" t="inlineStr">
        <is>
          <t>20260523-0022</t>
        </is>
      </c>
      <c r="B32" s="8" t="n">
        <v>46165</v>
      </c>
      <c r="C32" s="8" t="n"/>
      <c r="D32" s="2" t="inlineStr">
        <is>
          <t>Prime Visa (Chase) ****6217</t>
        </is>
      </c>
      <c r="E32" s="2" t="inlineStr">
        <is>
          <t>환불/크레딧</t>
        </is>
      </c>
      <c r="F32" s="2" t="inlineStr">
        <is>
          <t>AMAZON MKTPLACE PMTS Amzn.com/bill WA</t>
        </is>
      </c>
      <c r="G32" s="2" t="inlineStr">
        <is>
          <t>Amazon</t>
        </is>
      </c>
      <c r="H32" s="2" t="inlineStr">
        <is>
          <t>환불/크레딧</t>
        </is>
      </c>
      <c r="I32" s="2" t="inlineStr">
        <is>
          <t>환불/반품</t>
        </is>
      </c>
      <c r="J32" s="2" t="inlineStr">
        <is>
          <t>Amazon 환불</t>
        </is>
      </c>
      <c r="K32" s="4" t="n">
        <v>-12.35</v>
      </c>
      <c r="L32" s="4">
        <f>IF($E32="구매",$K32,0)</f>
        <v/>
      </c>
      <c r="M32" s="4">
        <f>IF($E32="환불/크레딧",$K32,0)</f>
        <v/>
      </c>
      <c r="N32" s="4">
        <f>IF($E32="결제",$K32,0)</f>
        <v/>
      </c>
      <c r="O32" s="4">
        <f>$K32</f>
        <v/>
      </c>
      <c r="P32" s="2" t="inlineStr">
        <is>
          <t>2026-05</t>
        </is>
      </c>
      <c r="Q32" s="2" t="inlineStr">
        <is>
          <t>69212C10-1B95-4A05-9104-379BBA52768F-list_d242.pdf</t>
        </is>
      </c>
      <c r="R32" s="2" t="inlineStr"/>
      <c r="S32" s="2" t="inlineStr"/>
      <c r="T32" s="2" t="inlineStr"/>
      <c r="U32" s="2" t="inlineStr"/>
    </row>
    <row r="33">
      <c r="A33" s="2" t="inlineStr">
        <is>
          <t>20260523-0023</t>
        </is>
      </c>
      <c r="B33" s="8" t="n">
        <v>46165</v>
      </c>
      <c r="C33" s="8" t="n"/>
      <c r="D33" s="2" t="inlineStr">
        <is>
          <t>Prime Visa (Chase) ****6217</t>
        </is>
      </c>
      <c r="E33" s="2" t="inlineStr">
        <is>
          <t>환불/크레딧</t>
        </is>
      </c>
      <c r="F33" s="2" t="inlineStr">
        <is>
          <t>AMAZON MKTPLACE PMTS Amzn.com/bill WA</t>
        </is>
      </c>
      <c r="G33" s="2" t="inlineStr">
        <is>
          <t>Amazon</t>
        </is>
      </c>
      <c r="H33" s="2" t="inlineStr">
        <is>
          <t>환불/크레딧</t>
        </is>
      </c>
      <c r="I33" s="2" t="inlineStr">
        <is>
          <t>환불/반품</t>
        </is>
      </c>
      <c r="J33" s="2" t="inlineStr">
        <is>
          <t>Amazon 환불</t>
        </is>
      </c>
      <c r="K33" s="4" t="n">
        <v>-6.94</v>
      </c>
      <c r="L33" s="4">
        <f>IF($E33="구매",$K33,0)</f>
        <v/>
      </c>
      <c r="M33" s="4">
        <f>IF($E33="환불/크레딧",$K33,0)</f>
        <v/>
      </c>
      <c r="N33" s="4">
        <f>IF($E33="결제",$K33,0)</f>
        <v/>
      </c>
      <c r="O33" s="4">
        <f>$K33</f>
        <v/>
      </c>
      <c r="P33" s="2" t="inlineStr">
        <is>
          <t>2026-05</t>
        </is>
      </c>
      <c r="Q33" s="2" t="inlineStr">
        <is>
          <t>69212C10-1B95-4A05-9104-379BBA52768F-list_d242.pdf</t>
        </is>
      </c>
      <c r="R33" s="2" t="inlineStr"/>
      <c r="S33" s="2" t="inlineStr"/>
      <c r="T33" s="2" t="inlineStr"/>
      <c r="U33" s="2" t="inlineStr"/>
    </row>
    <row r="34">
      <c r="A34" s="2" t="inlineStr">
        <is>
          <t>20260524-0024</t>
        </is>
      </c>
      <c r="B34" s="8" t="n">
        <v>46166</v>
      </c>
      <c r="C34" s="8" t="n"/>
      <c r="D34" s="2" t="inlineStr">
        <is>
          <t>Prime Visa (Chase) ****6217</t>
        </is>
      </c>
      <c r="E34" s="2" t="inlineStr">
        <is>
          <t>구매</t>
        </is>
      </c>
      <c r="F34" s="2" t="inlineStr">
        <is>
          <t>AMAZON MKTPL*LE8NV2TZ3 Amzn.com/bill WA</t>
        </is>
      </c>
      <c r="G34" s="2" t="inlineStr">
        <is>
          <t>Amazon</t>
        </is>
      </c>
      <c r="H34" s="2" t="inlineStr">
        <is>
          <t>온라인쇼핑</t>
        </is>
      </c>
      <c r="I34" s="2" t="inlineStr">
        <is>
          <t>Amazon</t>
        </is>
      </c>
      <c r="J34" s="2" t="inlineStr">
        <is>
          <t>Amazon</t>
        </is>
      </c>
      <c r="K34" s="4" t="n">
        <v>17.33</v>
      </c>
      <c r="L34" s="4">
        <f>IF($E34="구매",$K34,0)</f>
        <v/>
      </c>
      <c r="M34" s="4">
        <f>IF($E34="환불/크레딧",$K34,0)</f>
        <v/>
      </c>
      <c r="N34" s="4">
        <f>IF($E34="결제",$K34,0)</f>
        <v/>
      </c>
      <c r="O34" s="4">
        <f>$K34</f>
        <v/>
      </c>
      <c r="P34" s="2" t="inlineStr">
        <is>
          <t>2026-05</t>
        </is>
      </c>
      <c r="Q34" s="2" t="inlineStr">
        <is>
          <t>69212C10-1B95-4A05-9104-379BBA52768F-list_d242.pdf</t>
        </is>
      </c>
      <c r="R34" s="2" t="inlineStr"/>
      <c r="S34" s="2" t="inlineStr"/>
      <c r="T34" s="2" t="inlineStr"/>
      <c r="U34" s="2" t="inlineStr"/>
    </row>
    <row r="35">
      <c r="A35" s="2" t="inlineStr">
        <is>
          <t>20260524-0025</t>
        </is>
      </c>
      <c r="B35" s="8" t="n">
        <v>46166</v>
      </c>
      <c r="C35" s="8" t="n"/>
      <c r="D35" s="2" t="inlineStr">
        <is>
          <t>Prime Visa (Chase) ****6217</t>
        </is>
      </c>
      <c r="E35" s="2" t="inlineStr">
        <is>
          <t>구매</t>
        </is>
      </c>
      <c r="F35" s="2" t="inlineStr">
        <is>
          <t>AMAZON MKTPL*YZ2086ON3 Amzn.com/bill WA</t>
        </is>
      </c>
      <c r="G35" s="2" t="inlineStr">
        <is>
          <t>Amazon</t>
        </is>
      </c>
      <c r="H35" s="2" t="inlineStr">
        <is>
          <t>온라인쇼핑</t>
        </is>
      </c>
      <c r="I35" s="2" t="inlineStr">
        <is>
          <t>Amazon</t>
        </is>
      </c>
      <c r="J35" s="2" t="inlineStr">
        <is>
          <t>Amazon</t>
        </is>
      </c>
      <c r="K35" s="4" t="n">
        <v>5.36</v>
      </c>
      <c r="L35" s="4">
        <f>IF($E35="구매",$K35,0)</f>
        <v/>
      </c>
      <c r="M35" s="4">
        <f>IF($E35="환불/크레딧",$K35,0)</f>
        <v/>
      </c>
      <c r="N35" s="4">
        <f>IF($E35="결제",$K35,0)</f>
        <v/>
      </c>
      <c r="O35" s="4">
        <f>$K35</f>
        <v/>
      </c>
      <c r="P35" s="2" t="inlineStr">
        <is>
          <t>2026-05</t>
        </is>
      </c>
      <c r="Q35" s="2" t="inlineStr">
        <is>
          <t>69212C10-1B95-4A05-9104-379BBA52768F-list_d242.pdf</t>
        </is>
      </c>
      <c r="R35" s="2" t="inlineStr"/>
      <c r="S35" s="2" t="inlineStr"/>
      <c r="T35" s="2" t="inlineStr"/>
      <c r="U35" s="2" t="inlineStr"/>
    </row>
    <row r="36">
      <c r="A36" s="2" t="inlineStr">
        <is>
          <t>20260527-0026</t>
        </is>
      </c>
      <c r="B36" s="8" t="n">
        <v>46169</v>
      </c>
      <c r="C36" s="8" t="n"/>
      <c r="D36" s="2" t="inlineStr">
        <is>
          <t>Prime Visa (Chase) ****6217</t>
        </is>
      </c>
      <c r="E36" s="2" t="inlineStr">
        <is>
          <t>구매</t>
        </is>
      </c>
      <c r="F36" s="2" t="inlineStr">
        <is>
          <t>AMAZON MKTPL*R09299H43 Amzn.com/bill WA</t>
        </is>
      </c>
      <c r="G36" s="2" t="inlineStr">
        <is>
          <t>Amazon</t>
        </is>
      </c>
      <c r="H36" s="2" t="inlineStr">
        <is>
          <t>온라인쇼핑</t>
        </is>
      </c>
      <c r="I36" s="2" t="inlineStr">
        <is>
          <t>Amazon</t>
        </is>
      </c>
      <c r="J36" s="2" t="inlineStr">
        <is>
          <t>Amazon</t>
        </is>
      </c>
      <c r="K36" s="4" t="n">
        <v>26.85</v>
      </c>
      <c r="L36" s="4">
        <f>IF($E36="구매",$K36,0)</f>
        <v/>
      </c>
      <c r="M36" s="4">
        <f>IF($E36="환불/크레딧",$K36,0)</f>
        <v/>
      </c>
      <c r="N36" s="4">
        <f>IF($E36="결제",$K36,0)</f>
        <v/>
      </c>
      <c r="O36" s="4">
        <f>$K36</f>
        <v/>
      </c>
      <c r="P36" s="2" t="inlineStr">
        <is>
          <t>2026-05</t>
        </is>
      </c>
      <c r="Q36" s="2" t="inlineStr">
        <is>
          <t>69212C10-1B95-4A05-9104-379BBA52768F-list_d242.pdf</t>
        </is>
      </c>
      <c r="R36" s="2" t="inlineStr"/>
      <c r="S36" s="2" t="inlineStr"/>
      <c r="T36" s="2" t="inlineStr"/>
      <c r="U36" s="2" t="inlineStr"/>
    </row>
    <row r="37">
      <c r="A37" s="2" t="inlineStr">
        <is>
          <t>20260527-0027</t>
        </is>
      </c>
      <c r="B37" s="8" t="n">
        <v>46169</v>
      </c>
      <c r="C37" s="8" t="n"/>
      <c r="D37" s="2" t="inlineStr">
        <is>
          <t>Prime Visa (Chase) ****6217</t>
        </is>
      </c>
      <c r="E37" s="2" t="inlineStr">
        <is>
          <t>구매</t>
        </is>
      </c>
      <c r="F37" s="2" t="inlineStr">
        <is>
          <t>Amazon.com*K37W61RF3 Amzn.com/bill WA</t>
        </is>
      </c>
      <c r="G37" s="2" t="inlineStr">
        <is>
          <t>Amazon</t>
        </is>
      </c>
      <c r="H37" s="2" t="inlineStr">
        <is>
          <t>온라인쇼핑</t>
        </is>
      </c>
      <c r="I37" s="2" t="inlineStr">
        <is>
          <t>Amazon</t>
        </is>
      </c>
      <c r="J37" s="2" t="inlineStr">
        <is>
          <t>Amazon</t>
        </is>
      </c>
      <c r="K37" s="4" t="n">
        <v>6.38</v>
      </c>
      <c r="L37" s="4">
        <f>IF($E37="구매",$K37,0)</f>
        <v/>
      </c>
      <c r="M37" s="4">
        <f>IF($E37="환불/크레딧",$K37,0)</f>
        <v/>
      </c>
      <c r="N37" s="4">
        <f>IF($E37="결제",$K37,0)</f>
        <v/>
      </c>
      <c r="O37" s="4">
        <f>$K37</f>
        <v/>
      </c>
      <c r="P37" s="2" t="inlineStr">
        <is>
          <t>2026-05</t>
        </is>
      </c>
      <c r="Q37" s="2" t="inlineStr">
        <is>
          <t>69212C10-1B95-4A05-9104-379BBA52768F-list_d242.pdf</t>
        </is>
      </c>
      <c r="R37" s="2" t="inlineStr"/>
      <c r="S37" s="2" t="inlineStr"/>
      <c r="T37" s="2" t="inlineStr"/>
      <c r="U37" s="2" t="inlineStr"/>
    </row>
    <row r="38">
      <c r="A38" s="2" t="inlineStr">
        <is>
          <t>20260527-0028</t>
        </is>
      </c>
      <c r="B38" s="8" t="n">
        <v>46169</v>
      </c>
      <c r="C38" s="8" t="n"/>
      <c r="D38" s="2" t="inlineStr">
        <is>
          <t>Prime Visa (Chase) ****6217</t>
        </is>
      </c>
      <c r="E38" s="2" t="inlineStr">
        <is>
          <t>구매</t>
        </is>
      </c>
      <c r="F38" s="2" t="inlineStr">
        <is>
          <t>Amazon.com*L40T27973 Amzn.com/bill WA</t>
        </is>
      </c>
      <c r="G38" s="2" t="inlineStr">
        <is>
          <t>Amazon</t>
        </is>
      </c>
      <c r="H38" s="2" t="inlineStr">
        <is>
          <t>온라인쇼핑</t>
        </is>
      </c>
      <c r="I38" s="2" t="inlineStr">
        <is>
          <t>Amazon</t>
        </is>
      </c>
      <c r="J38" s="2" t="inlineStr">
        <is>
          <t>Amazon</t>
        </is>
      </c>
      <c r="K38" s="4" t="n">
        <v>22.07</v>
      </c>
      <c r="L38" s="4">
        <f>IF($E38="구매",$K38,0)</f>
        <v/>
      </c>
      <c r="M38" s="4">
        <f>IF($E38="환불/크레딧",$K38,0)</f>
        <v/>
      </c>
      <c r="N38" s="4">
        <f>IF($E38="결제",$K38,0)</f>
        <v/>
      </c>
      <c r="O38" s="4">
        <f>$K38</f>
        <v/>
      </c>
      <c r="P38" s="2" t="inlineStr">
        <is>
          <t>2026-05</t>
        </is>
      </c>
      <c r="Q38" s="2" t="inlineStr">
        <is>
          <t>69212C10-1B95-4A05-9104-379BBA52768F-list_d242.pdf</t>
        </is>
      </c>
      <c r="R38" s="2" t="inlineStr"/>
      <c r="S38" s="2" t="inlineStr"/>
      <c r="T38" s="2" t="inlineStr"/>
      <c r="U38" s="2" t="inlineStr"/>
    </row>
  </sheetData>
  <autoFilter ref="A10:U38"/>
  <conditionalFormatting sqref="U11:U38">
    <cfRule type="cellIs" priority="1" operator="equal" dxfId="0">
      <formula>"확인"</formula>
    </cfRule>
  </conditionalFormatting>
  <dataValidations count="3">
    <dataValidation sqref="R11:R38" showDropDown="0" showInputMessage="0" showErrorMessage="0" allowBlank="1" type="list">
      <formula1>'분류목록'!$A$2:$A$9</formula1>
    </dataValidation>
    <dataValidation sqref="S11:S38" showDropDown="0" showInputMessage="0" showErrorMessage="0" allowBlank="1" type="list">
      <formula1>'분류목록'!$B$2:$B$10</formula1>
    </dataValidation>
    <dataValidation sqref="E11:E38" showDropDown="0" showInputMessage="0" showErrorMessage="0" allowBlank="0" type="list">
      <formula1>"구매,환불/크레딧,결제"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2" customWidth="1" min="4" max="4"/>
    <col width="14" customWidth="1" min="5" max="5"/>
    <col width="46" customWidth="1" min="6" max="6"/>
    <col width="24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5" customWidth="1" min="13" max="13"/>
    <col width="15" customWidth="1" min="14" max="14"/>
    <col width="13" customWidth="1" min="15" max="15"/>
    <col width="13" customWidth="1" min="16" max="16"/>
    <col width="42" customWidth="1" min="17" max="17"/>
    <col width="18" customWidth="1" min="18" max="18"/>
    <col width="18" customWidth="1" min="19" max="19"/>
    <col width="32" customWidth="1" min="20" max="20"/>
    <col width="12" customWidth="1" min="21" max="21"/>
  </cols>
  <sheetData>
    <row r="1">
      <c r="A1" s="7" t="inlineStr">
        <is>
          <t>2026년 6월 카드 사용내역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구매 지출 합계</t>
        </is>
      </c>
      <c r="B3" s="4" t="n">
        <v>0</v>
      </c>
      <c r="C3" s="2" t="n"/>
      <c r="D3" s="2" t="inlineStr">
        <is>
          <t>편집 안내</t>
        </is>
      </c>
      <c r="E3" s="2" t="inlineStr">
        <is>
          <t>사용자_대분류/사용자_세부분류/사용자_메모 열은 직접 수정용입니다. 원본 분류는 비교를 위해 보존했습니다.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환불/크레딧 합계</t>
        </is>
      </c>
      <c r="B4" s="4" t="n">
        <v>0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카드대금 결제 합계</t>
        </is>
      </c>
      <c r="B5" s="4" t="n">
        <v>0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순액</t>
        </is>
      </c>
      <c r="B6" s="4" t="n">
        <v>0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거래 수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3" t="inlineStr">
        <is>
          <t>ID</t>
        </is>
      </c>
      <c r="B10" s="3" t="inlineStr">
        <is>
          <t>사용일</t>
        </is>
      </c>
      <c r="C10" s="3" t="inlineStr">
        <is>
          <t>전기일</t>
        </is>
      </c>
      <c r="D10" s="3" t="inlineStr">
        <is>
          <t>카드</t>
        </is>
      </c>
      <c r="E10" s="3" t="inlineStr">
        <is>
          <t>거래유형</t>
        </is>
      </c>
      <c r="F10" s="3" t="inlineStr">
        <is>
          <t>상점/원본설명</t>
        </is>
      </c>
      <c r="G10" s="3" t="inlineStr">
        <is>
          <t>표준상점</t>
        </is>
      </c>
      <c r="H10" s="3" t="inlineStr">
        <is>
          <t>원본_대분류</t>
        </is>
      </c>
      <c r="I10" s="3" t="inlineStr">
        <is>
          <t>원본_세부분류</t>
        </is>
      </c>
      <c r="J10" s="3" t="inlineStr">
        <is>
          <t>상세태그</t>
        </is>
      </c>
      <c r="K10" s="3" t="inlineStr">
        <is>
          <t>원본금액</t>
        </is>
      </c>
      <c r="L10" s="3" t="inlineStr">
        <is>
          <t>지출금액</t>
        </is>
      </c>
      <c r="M10" s="3" t="inlineStr">
        <is>
          <t>환불/크레딧</t>
        </is>
      </c>
      <c r="N10" s="3" t="inlineStr">
        <is>
          <t>결제금액</t>
        </is>
      </c>
      <c r="O10" s="3" t="inlineStr">
        <is>
          <t>순액</t>
        </is>
      </c>
      <c r="P10" s="3" t="inlineStr">
        <is>
          <t>명세서월</t>
        </is>
      </c>
      <c r="Q10" s="3" t="inlineStr">
        <is>
          <t>원본파일</t>
        </is>
      </c>
      <c r="R10" s="3" t="inlineStr">
        <is>
          <t>사용자_대분류</t>
        </is>
      </c>
      <c r="S10" s="3" t="inlineStr">
        <is>
          <t>사용자_세부분류</t>
        </is>
      </c>
      <c r="T10" s="3" t="inlineStr">
        <is>
          <t>사용자_메모</t>
        </is>
      </c>
      <c r="U10" s="3" t="inlineStr">
        <is>
          <t>검토필요</t>
        </is>
      </c>
    </row>
  </sheetData>
  <autoFilter ref="A10:U10"/>
  <dataValidations count="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2" customWidth="1" min="4" max="4"/>
    <col width="14" customWidth="1" min="5" max="5"/>
    <col width="46" customWidth="1" min="6" max="6"/>
    <col width="24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5" customWidth="1" min="13" max="13"/>
    <col width="15" customWidth="1" min="14" max="14"/>
    <col width="13" customWidth="1" min="15" max="15"/>
    <col width="13" customWidth="1" min="16" max="16"/>
    <col width="42" customWidth="1" min="17" max="17"/>
    <col width="18" customWidth="1" min="18" max="18"/>
    <col width="18" customWidth="1" min="19" max="19"/>
    <col width="32" customWidth="1" min="20" max="20"/>
    <col width="12" customWidth="1" min="21" max="21"/>
  </cols>
  <sheetData>
    <row r="1">
      <c r="A1" s="7" t="inlineStr">
        <is>
          <t>2026년 7월 카드 사용내역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구매 지출 합계</t>
        </is>
      </c>
      <c r="B3" s="4" t="n">
        <v>0</v>
      </c>
      <c r="C3" s="2" t="n"/>
      <c r="D3" s="2" t="inlineStr">
        <is>
          <t>편집 안내</t>
        </is>
      </c>
      <c r="E3" s="2" t="inlineStr">
        <is>
          <t>사용자_대분류/사용자_세부분류/사용자_메모 열은 직접 수정용입니다. 원본 분류는 비교를 위해 보존했습니다.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환불/크레딧 합계</t>
        </is>
      </c>
      <c r="B4" s="4" t="n">
        <v>0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카드대금 결제 합계</t>
        </is>
      </c>
      <c r="B5" s="4" t="n">
        <v>0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순액</t>
        </is>
      </c>
      <c r="B6" s="4" t="n">
        <v>0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거래 수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3" t="inlineStr">
        <is>
          <t>ID</t>
        </is>
      </c>
      <c r="B10" s="3" t="inlineStr">
        <is>
          <t>사용일</t>
        </is>
      </c>
      <c r="C10" s="3" t="inlineStr">
        <is>
          <t>전기일</t>
        </is>
      </c>
      <c r="D10" s="3" t="inlineStr">
        <is>
          <t>카드</t>
        </is>
      </c>
      <c r="E10" s="3" t="inlineStr">
        <is>
          <t>거래유형</t>
        </is>
      </c>
      <c r="F10" s="3" t="inlineStr">
        <is>
          <t>상점/원본설명</t>
        </is>
      </c>
      <c r="G10" s="3" t="inlineStr">
        <is>
          <t>표준상점</t>
        </is>
      </c>
      <c r="H10" s="3" t="inlineStr">
        <is>
          <t>원본_대분류</t>
        </is>
      </c>
      <c r="I10" s="3" t="inlineStr">
        <is>
          <t>원본_세부분류</t>
        </is>
      </c>
      <c r="J10" s="3" t="inlineStr">
        <is>
          <t>상세태그</t>
        </is>
      </c>
      <c r="K10" s="3" t="inlineStr">
        <is>
          <t>원본금액</t>
        </is>
      </c>
      <c r="L10" s="3" t="inlineStr">
        <is>
          <t>지출금액</t>
        </is>
      </c>
      <c r="M10" s="3" t="inlineStr">
        <is>
          <t>환불/크레딧</t>
        </is>
      </c>
      <c r="N10" s="3" t="inlineStr">
        <is>
          <t>결제금액</t>
        </is>
      </c>
      <c r="O10" s="3" t="inlineStr">
        <is>
          <t>순액</t>
        </is>
      </c>
      <c r="P10" s="3" t="inlineStr">
        <is>
          <t>명세서월</t>
        </is>
      </c>
      <c r="Q10" s="3" t="inlineStr">
        <is>
          <t>원본파일</t>
        </is>
      </c>
      <c r="R10" s="3" t="inlineStr">
        <is>
          <t>사용자_대분류</t>
        </is>
      </c>
      <c r="S10" s="3" t="inlineStr">
        <is>
          <t>사용자_세부분류</t>
        </is>
      </c>
      <c r="T10" s="3" t="inlineStr">
        <is>
          <t>사용자_메모</t>
        </is>
      </c>
      <c r="U10" s="3" t="inlineStr">
        <is>
          <t>검토필요</t>
        </is>
      </c>
    </row>
  </sheetData>
  <autoFilter ref="A10:U10"/>
  <dataValidations count="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2" customWidth="1" min="4" max="4"/>
    <col width="14" customWidth="1" min="5" max="5"/>
    <col width="46" customWidth="1" min="6" max="6"/>
    <col width="24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5" customWidth="1" min="13" max="13"/>
    <col width="15" customWidth="1" min="14" max="14"/>
    <col width="13" customWidth="1" min="15" max="15"/>
    <col width="13" customWidth="1" min="16" max="16"/>
    <col width="42" customWidth="1" min="17" max="17"/>
    <col width="18" customWidth="1" min="18" max="18"/>
    <col width="18" customWidth="1" min="19" max="19"/>
    <col width="32" customWidth="1" min="20" max="20"/>
    <col width="12" customWidth="1" min="21" max="21"/>
  </cols>
  <sheetData>
    <row r="1">
      <c r="A1" s="7" t="inlineStr">
        <is>
          <t>2026년 8월 카드 사용내역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구매 지출 합계</t>
        </is>
      </c>
      <c r="B3" s="4" t="n">
        <v>0</v>
      </c>
      <c r="C3" s="2" t="n"/>
      <c r="D3" s="2" t="inlineStr">
        <is>
          <t>편집 안내</t>
        </is>
      </c>
      <c r="E3" s="2" t="inlineStr">
        <is>
          <t>사용자_대분류/사용자_세부분류/사용자_메모 열은 직접 수정용입니다. 원본 분류는 비교를 위해 보존했습니다.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환불/크레딧 합계</t>
        </is>
      </c>
      <c r="B4" s="4" t="n">
        <v>0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카드대금 결제 합계</t>
        </is>
      </c>
      <c r="B5" s="4" t="n">
        <v>0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순액</t>
        </is>
      </c>
      <c r="B6" s="4" t="n">
        <v>0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거래 수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3" t="inlineStr">
        <is>
          <t>ID</t>
        </is>
      </c>
      <c r="B10" s="3" t="inlineStr">
        <is>
          <t>사용일</t>
        </is>
      </c>
      <c r="C10" s="3" t="inlineStr">
        <is>
          <t>전기일</t>
        </is>
      </c>
      <c r="D10" s="3" t="inlineStr">
        <is>
          <t>카드</t>
        </is>
      </c>
      <c r="E10" s="3" t="inlineStr">
        <is>
          <t>거래유형</t>
        </is>
      </c>
      <c r="F10" s="3" t="inlineStr">
        <is>
          <t>상점/원본설명</t>
        </is>
      </c>
      <c r="G10" s="3" t="inlineStr">
        <is>
          <t>표준상점</t>
        </is>
      </c>
      <c r="H10" s="3" t="inlineStr">
        <is>
          <t>원본_대분류</t>
        </is>
      </c>
      <c r="I10" s="3" t="inlineStr">
        <is>
          <t>원본_세부분류</t>
        </is>
      </c>
      <c r="J10" s="3" t="inlineStr">
        <is>
          <t>상세태그</t>
        </is>
      </c>
      <c r="K10" s="3" t="inlineStr">
        <is>
          <t>원본금액</t>
        </is>
      </c>
      <c r="L10" s="3" t="inlineStr">
        <is>
          <t>지출금액</t>
        </is>
      </c>
      <c r="M10" s="3" t="inlineStr">
        <is>
          <t>환불/크레딧</t>
        </is>
      </c>
      <c r="N10" s="3" t="inlineStr">
        <is>
          <t>결제금액</t>
        </is>
      </c>
      <c r="O10" s="3" t="inlineStr">
        <is>
          <t>순액</t>
        </is>
      </c>
      <c r="P10" s="3" t="inlineStr">
        <is>
          <t>명세서월</t>
        </is>
      </c>
      <c r="Q10" s="3" t="inlineStr">
        <is>
          <t>원본파일</t>
        </is>
      </c>
      <c r="R10" s="3" t="inlineStr">
        <is>
          <t>사용자_대분류</t>
        </is>
      </c>
      <c r="S10" s="3" t="inlineStr">
        <is>
          <t>사용자_세부분류</t>
        </is>
      </c>
      <c r="T10" s="3" t="inlineStr">
        <is>
          <t>사용자_메모</t>
        </is>
      </c>
      <c r="U10" s="3" t="inlineStr">
        <is>
          <t>검토필요</t>
        </is>
      </c>
    </row>
  </sheetData>
  <autoFilter ref="A10:U10"/>
  <dataValidations count="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2" customWidth="1" min="4" max="4"/>
    <col width="14" customWidth="1" min="5" max="5"/>
    <col width="46" customWidth="1" min="6" max="6"/>
    <col width="24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5" customWidth="1" min="13" max="13"/>
    <col width="15" customWidth="1" min="14" max="14"/>
    <col width="13" customWidth="1" min="15" max="15"/>
    <col width="13" customWidth="1" min="16" max="16"/>
    <col width="42" customWidth="1" min="17" max="17"/>
    <col width="18" customWidth="1" min="18" max="18"/>
    <col width="18" customWidth="1" min="19" max="19"/>
    <col width="32" customWidth="1" min="20" max="20"/>
    <col width="12" customWidth="1" min="21" max="21"/>
  </cols>
  <sheetData>
    <row r="1">
      <c r="A1" s="7" t="inlineStr">
        <is>
          <t>2026년 9월 카드 사용내역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구매 지출 합계</t>
        </is>
      </c>
      <c r="B3" s="4" t="n">
        <v>0</v>
      </c>
      <c r="C3" s="2" t="n"/>
      <c r="D3" s="2" t="inlineStr">
        <is>
          <t>편집 안내</t>
        </is>
      </c>
      <c r="E3" s="2" t="inlineStr">
        <is>
          <t>사용자_대분류/사용자_세부분류/사용자_메모 열은 직접 수정용입니다. 원본 분류는 비교를 위해 보존했습니다.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환불/크레딧 합계</t>
        </is>
      </c>
      <c r="B4" s="4" t="n">
        <v>0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카드대금 결제 합계</t>
        </is>
      </c>
      <c r="B5" s="4" t="n">
        <v>0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순액</t>
        </is>
      </c>
      <c r="B6" s="4" t="n">
        <v>0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거래 수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3" t="inlineStr">
        <is>
          <t>ID</t>
        </is>
      </c>
      <c r="B10" s="3" t="inlineStr">
        <is>
          <t>사용일</t>
        </is>
      </c>
      <c r="C10" s="3" t="inlineStr">
        <is>
          <t>전기일</t>
        </is>
      </c>
      <c r="D10" s="3" t="inlineStr">
        <is>
          <t>카드</t>
        </is>
      </c>
      <c r="E10" s="3" t="inlineStr">
        <is>
          <t>거래유형</t>
        </is>
      </c>
      <c r="F10" s="3" t="inlineStr">
        <is>
          <t>상점/원본설명</t>
        </is>
      </c>
      <c r="G10" s="3" t="inlineStr">
        <is>
          <t>표준상점</t>
        </is>
      </c>
      <c r="H10" s="3" t="inlineStr">
        <is>
          <t>원본_대분류</t>
        </is>
      </c>
      <c r="I10" s="3" t="inlineStr">
        <is>
          <t>원본_세부분류</t>
        </is>
      </c>
      <c r="J10" s="3" t="inlineStr">
        <is>
          <t>상세태그</t>
        </is>
      </c>
      <c r="K10" s="3" t="inlineStr">
        <is>
          <t>원본금액</t>
        </is>
      </c>
      <c r="L10" s="3" t="inlineStr">
        <is>
          <t>지출금액</t>
        </is>
      </c>
      <c r="M10" s="3" t="inlineStr">
        <is>
          <t>환불/크레딧</t>
        </is>
      </c>
      <c r="N10" s="3" t="inlineStr">
        <is>
          <t>결제금액</t>
        </is>
      </c>
      <c r="O10" s="3" t="inlineStr">
        <is>
          <t>순액</t>
        </is>
      </c>
      <c r="P10" s="3" t="inlineStr">
        <is>
          <t>명세서월</t>
        </is>
      </c>
      <c r="Q10" s="3" t="inlineStr">
        <is>
          <t>원본파일</t>
        </is>
      </c>
      <c r="R10" s="3" t="inlineStr">
        <is>
          <t>사용자_대분류</t>
        </is>
      </c>
      <c r="S10" s="3" t="inlineStr">
        <is>
          <t>사용자_세부분류</t>
        </is>
      </c>
      <c r="T10" s="3" t="inlineStr">
        <is>
          <t>사용자_메모</t>
        </is>
      </c>
      <c r="U10" s="3" t="inlineStr">
        <is>
          <t>검토필요</t>
        </is>
      </c>
    </row>
  </sheetData>
  <autoFilter ref="A10:U10"/>
  <dataValidations count="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2" customWidth="1" min="4" max="4"/>
    <col width="14" customWidth="1" min="5" max="5"/>
    <col width="46" customWidth="1" min="6" max="6"/>
    <col width="24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5" customWidth="1" min="13" max="13"/>
    <col width="15" customWidth="1" min="14" max="14"/>
    <col width="13" customWidth="1" min="15" max="15"/>
    <col width="13" customWidth="1" min="16" max="16"/>
    <col width="42" customWidth="1" min="17" max="17"/>
    <col width="18" customWidth="1" min="18" max="18"/>
    <col width="18" customWidth="1" min="19" max="19"/>
    <col width="32" customWidth="1" min="20" max="20"/>
    <col width="12" customWidth="1" min="21" max="21"/>
  </cols>
  <sheetData>
    <row r="1">
      <c r="A1" s="7" t="inlineStr">
        <is>
          <t>2026년 10월 카드 사용내역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구매 지출 합계</t>
        </is>
      </c>
      <c r="B3" s="4" t="n">
        <v>0</v>
      </c>
      <c r="C3" s="2" t="n"/>
      <c r="D3" s="2" t="inlineStr">
        <is>
          <t>편집 안내</t>
        </is>
      </c>
      <c r="E3" s="2" t="inlineStr">
        <is>
          <t>사용자_대분류/사용자_세부분류/사용자_메모 열은 직접 수정용입니다. 원본 분류는 비교를 위해 보존했습니다.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환불/크레딧 합계</t>
        </is>
      </c>
      <c r="B4" s="4" t="n">
        <v>0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카드대금 결제 합계</t>
        </is>
      </c>
      <c r="B5" s="4" t="n">
        <v>0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순액</t>
        </is>
      </c>
      <c r="B6" s="4" t="n">
        <v>0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거래 수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3" t="inlineStr">
        <is>
          <t>ID</t>
        </is>
      </c>
      <c r="B10" s="3" t="inlineStr">
        <is>
          <t>사용일</t>
        </is>
      </c>
      <c r="C10" s="3" t="inlineStr">
        <is>
          <t>전기일</t>
        </is>
      </c>
      <c r="D10" s="3" t="inlineStr">
        <is>
          <t>카드</t>
        </is>
      </c>
      <c r="E10" s="3" t="inlineStr">
        <is>
          <t>거래유형</t>
        </is>
      </c>
      <c r="F10" s="3" t="inlineStr">
        <is>
          <t>상점/원본설명</t>
        </is>
      </c>
      <c r="G10" s="3" t="inlineStr">
        <is>
          <t>표준상점</t>
        </is>
      </c>
      <c r="H10" s="3" t="inlineStr">
        <is>
          <t>원본_대분류</t>
        </is>
      </c>
      <c r="I10" s="3" t="inlineStr">
        <is>
          <t>원본_세부분류</t>
        </is>
      </c>
      <c r="J10" s="3" t="inlineStr">
        <is>
          <t>상세태그</t>
        </is>
      </c>
      <c r="K10" s="3" t="inlineStr">
        <is>
          <t>원본금액</t>
        </is>
      </c>
      <c r="L10" s="3" t="inlineStr">
        <is>
          <t>지출금액</t>
        </is>
      </c>
      <c r="M10" s="3" t="inlineStr">
        <is>
          <t>환불/크레딧</t>
        </is>
      </c>
      <c r="N10" s="3" t="inlineStr">
        <is>
          <t>결제금액</t>
        </is>
      </c>
      <c r="O10" s="3" t="inlineStr">
        <is>
          <t>순액</t>
        </is>
      </c>
      <c r="P10" s="3" t="inlineStr">
        <is>
          <t>명세서월</t>
        </is>
      </c>
      <c r="Q10" s="3" t="inlineStr">
        <is>
          <t>원본파일</t>
        </is>
      </c>
      <c r="R10" s="3" t="inlineStr">
        <is>
          <t>사용자_대분류</t>
        </is>
      </c>
      <c r="S10" s="3" t="inlineStr">
        <is>
          <t>사용자_세부분류</t>
        </is>
      </c>
      <c r="T10" s="3" t="inlineStr">
        <is>
          <t>사용자_메모</t>
        </is>
      </c>
      <c r="U10" s="3" t="inlineStr">
        <is>
          <t>검토필요</t>
        </is>
      </c>
    </row>
  </sheetData>
  <autoFilter ref="A10:U10"/>
  <dataValidations count="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2" customWidth="1" min="4" max="4"/>
    <col width="14" customWidth="1" min="5" max="5"/>
    <col width="46" customWidth="1" min="6" max="6"/>
    <col width="24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5" customWidth="1" min="13" max="13"/>
    <col width="15" customWidth="1" min="14" max="14"/>
    <col width="13" customWidth="1" min="15" max="15"/>
    <col width="13" customWidth="1" min="16" max="16"/>
    <col width="42" customWidth="1" min="17" max="17"/>
    <col width="18" customWidth="1" min="18" max="18"/>
    <col width="18" customWidth="1" min="19" max="19"/>
    <col width="32" customWidth="1" min="20" max="20"/>
    <col width="12" customWidth="1" min="21" max="21"/>
  </cols>
  <sheetData>
    <row r="1">
      <c r="A1" s="7" t="inlineStr">
        <is>
          <t>2026년 11월 카드 사용내역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구매 지출 합계</t>
        </is>
      </c>
      <c r="B3" s="4" t="n">
        <v>0</v>
      </c>
      <c r="C3" s="2" t="n"/>
      <c r="D3" s="2" t="inlineStr">
        <is>
          <t>편집 안내</t>
        </is>
      </c>
      <c r="E3" s="2" t="inlineStr">
        <is>
          <t>사용자_대분류/사용자_세부분류/사용자_메모 열은 직접 수정용입니다. 원본 분류는 비교를 위해 보존했습니다.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환불/크레딧 합계</t>
        </is>
      </c>
      <c r="B4" s="4" t="n">
        <v>0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카드대금 결제 합계</t>
        </is>
      </c>
      <c r="B5" s="4" t="n">
        <v>0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순액</t>
        </is>
      </c>
      <c r="B6" s="4" t="n">
        <v>0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거래 수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3" t="inlineStr">
        <is>
          <t>ID</t>
        </is>
      </c>
      <c r="B10" s="3" t="inlineStr">
        <is>
          <t>사용일</t>
        </is>
      </c>
      <c r="C10" s="3" t="inlineStr">
        <is>
          <t>전기일</t>
        </is>
      </c>
      <c r="D10" s="3" t="inlineStr">
        <is>
          <t>카드</t>
        </is>
      </c>
      <c r="E10" s="3" t="inlineStr">
        <is>
          <t>거래유형</t>
        </is>
      </c>
      <c r="F10" s="3" t="inlineStr">
        <is>
          <t>상점/원본설명</t>
        </is>
      </c>
      <c r="G10" s="3" t="inlineStr">
        <is>
          <t>표준상점</t>
        </is>
      </c>
      <c r="H10" s="3" t="inlineStr">
        <is>
          <t>원본_대분류</t>
        </is>
      </c>
      <c r="I10" s="3" t="inlineStr">
        <is>
          <t>원본_세부분류</t>
        </is>
      </c>
      <c r="J10" s="3" t="inlineStr">
        <is>
          <t>상세태그</t>
        </is>
      </c>
      <c r="K10" s="3" t="inlineStr">
        <is>
          <t>원본금액</t>
        </is>
      </c>
      <c r="L10" s="3" t="inlineStr">
        <is>
          <t>지출금액</t>
        </is>
      </c>
      <c r="M10" s="3" t="inlineStr">
        <is>
          <t>환불/크레딧</t>
        </is>
      </c>
      <c r="N10" s="3" t="inlineStr">
        <is>
          <t>결제금액</t>
        </is>
      </c>
      <c r="O10" s="3" t="inlineStr">
        <is>
          <t>순액</t>
        </is>
      </c>
      <c r="P10" s="3" t="inlineStr">
        <is>
          <t>명세서월</t>
        </is>
      </c>
      <c r="Q10" s="3" t="inlineStr">
        <is>
          <t>원본파일</t>
        </is>
      </c>
      <c r="R10" s="3" t="inlineStr">
        <is>
          <t>사용자_대분류</t>
        </is>
      </c>
      <c r="S10" s="3" t="inlineStr">
        <is>
          <t>사용자_세부분류</t>
        </is>
      </c>
      <c r="T10" s="3" t="inlineStr">
        <is>
          <t>사용자_메모</t>
        </is>
      </c>
      <c r="U10" s="3" t="inlineStr">
        <is>
          <t>검토필요</t>
        </is>
      </c>
    </row>
  </sheetData>
  <autoFilter ref="A10:U10"/>
  <dataValidations count="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2" customWidth="1" min="4" max="4"/>
    <col width="14" customWidth="1" min="5" max="5"/>
    <col width="46" customWidth="1" min="6" max="6"/>
    <col width="24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5" customWidth="1" min="13" max="13"/>
    <col width="15" customWidth="1" min="14" max="14"/>
    <col width="13" customWidth="1" min="15" max="15"/>
    <col width="13" customWidth="1" min="16" max="16"/>
    <col width="42" customWidth="1" min="17" max="17"/>
    <col width="18" customWidth="1" min="18" max="18"/>
    <col width="18" customWidth="1" min="19" max="19"/>
    <col width="32" customWidth="1" min="20" max="20"/>
    <col width="12" customWidth="1" min="21" max="21"/>
  </cols>
  <sheetData>
    <row r="1">
      <c r="A1" s="7" t="inlineStr">
        <is>
          <t>2026년 12월 카드 사용내역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구매 지출 합계</t>
        </is>
      </c>
      <c r="B3" s="4" t="n">
        <v>0</v>
      </c>
      <c r="C3" s="2" t="n"/>
      <c r="D3" s="2" t="inlineStr">
        <is>
          <t>편집 안내</t>
        </is>
      </c>
      <c r="E3" s="2" t="inlineStr">
        <is>
          <t>사용자_대분류/사용자_세부분류/사용자_메모 열은 직접 수정용입니다. 원본 분류는 비교를 위해 보존했습니다.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환불/크레딧 합계</t>
        </is>
      </c>
      <c r="B4" s="4" t="n">
        <v>0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카드대금 결제 합계</t>
        </is>
      </c>
      <c r="B5" s="4" t="n">
        <v>0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순액</t>
        </is>
      </c>
      <c r="B6" s="4" t="n">
        <v>0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거래 수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3" t="inlineStr">
        <is>
          <t>ID</t>
        </is>
      </c>
      <c r="B10" s="3" t="inlineStr">
        <is>
          <t>사용일</t>
        </is>
      </c>
      <c r="C10" s="3" t="inlineStr">
        <is>
          <t>전기일</t>
        </is>
      </c>
      <c r="D10" s="3" t="inlineStr">
        <is>
          <t>카드</t>
        </is>
      </c>
      <c r="E10" s="3" t="inlineStr">
        <is>
          <t>거래유형</t>
        </is>
      </c>
      <c r="F10" s="3" t="inlineStr">
        <is>
          <t>상점/원본설명</t>
        </is>
      </c>
      <c r="G10" s="3" t="inlineStr">
        <is>
          <t>표준상점</t>
        </is>
      </c>
      <c r="H10" s="3" t="inlineStr">
        <is>
          <t>원본_대분류</t>
        </is>
      </c>
      <c r="I10" s="3" t="inlineStr">
        <is>
          <t>원본_세부분류</t>
        </is>
      </c>
      <c r="J10" s="3" t="inlineStr">
        <is>
          <t>상세태그</t>
        </is>
      </c>
      <c r="K10" s="3" t="inlineStr">
        <is>
          <t>원본금액</t>
        </is>
      </c>
      <c r="L10" s="3" t="inlineStr">
        <is>
          <t>지출금액</t>
        </is>
      </c>
      <c r="M10" s="3" t="inlineStr">
        <is>
          <t>환불/크레딧</t>
        </is>
      </c>
      <c r="N10" s="3" t="inlineStr">
        <is>
          <t>결제금액</t>
        </is>
      </c>
      <c r="O10" s="3" t="inlineStr">
        <is>
          <t>순액</t>
        </is>
      </c>
      <c r="P10" s="3" t="inlineStr">
        <is>
          <t>명세서월</t>
        </is>
      </c>
      <c r="Q10" s="3" t="inlineStr">
        <is>
          <t>원본파일</t>
        </is>
      </c>
      <c r="R10" s="3" t="inlineStr">
        <is>
          <t>사용자_대분류</t>
        </is>
      </c>
      <c r="S10" s="3" t="inlineStr">
        <is>
          <t>사용자_세부분류</t>
        </is>
      </c>
      <c r="T10" s="3" t="inlineStr">
        <is>
          <t>사용자_메모</t>
        </is>
      </c>
      <c r="U10" s="3" t="inlineStr">
        <is>
          <t>검토필요</t>
        </is>
      </c>
    </row>
  </sheetData>
  <autoFilter ref="A10:U10"/>
  <dataValidations count="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2" customWidth="1" min="4" max="4"/>
    <col width="14" customWidth="1" min="5" max="5"/>
    <col width="46" customWidth="1" min="6" max="6"/>
    <col width="24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5" customWidth="1" min="13" max="13"/>
    <col width="15" customWidth="1" min="14" max="14"/>
    <col width="13" customWidth="1" min="15" max="15"/>
    <col width="13" customWidth="1" min="16" max="16"/>
    <col width="42" customWidth="1" min="17" max="17"/>
    <col width="18" customWidth="1" min="18" max="18"/>
    <col width="18" customWidth="1" min="19" max="19"/>
    <col width="32" customWidth="1" min="20" max="20"/>
    <col width="12" customWidth="1" min="21" max="21"/>
  </cols>
  <sheetData>
    <row r="1">
      <c r="A1" s="7" t="inlineStr">
        <is>
          <t>2025년 사용일 거래 - 2026년 1월 명세서에 포함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구매 지출 합계</t>
        </is>
      </c>
      <c r="B3" s="4">
        <f>SUM(L11:L13)</f>
        <v/>
      </c>
      <c r="C3" s="2" t="n"/>
      <c r="D3" s="2" t="inlineStr">
        <is>
          <t>편집 안내</t>
        </is>
      </c>
      <c r="E3" s="2" t="inlineStr">
        <is>
          <t>사용자_대분류/사용자_세부분류/사용자_메모 열은 직접 수정용입니다. 원본 분류는 비교를 위해 보존했습니다.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환불/크레딧 합계</t>
        </is>
      </c>
      <c r="B4" s="4">
        <f>SUM(M11:M13)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카드대금 결제 합계</t>
        </is>
      </c>
      <c r="B5" s="4">
        <f>SUM(N11:N13)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순액</t>
        </is>
      </c>
      <c r="B6" s="4">
        <f>SUM(O11:O13)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거래 수</t>
        </is>
      </c>
      <c r="B7" s="2" t="n">
        <v>3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3" t="inlineStr">
        <is>
          <t>ID</t>
        </is>
      </c>
      <c r="B10" s="3" t="inlineStr">
        <is>
          <t>사용일</t>
        </is>
      </c>
      <c r="C10" s="3" t="inlineStr">
        <is>
          <t>전기일</t>
        </is>
      </c>
      <c r="D10" s="3" t="inlineStr">
        <is>
          <t>카드</t>
        </is>
      </c>
      <c r="E10" s="3" t="inlineStr">
        <is>
          <t>거래유형</t>
        </is>
      </c>
      <c r="F10" s="3" t="inlineStr">
        <is>
          <t>상점/원본설명</t>
        </is>
      </c>
      <c r="G10" s="3" t="inlineStr">
        <is>
          <t>표준상점</t>
        </is>
      </c>
      <c r="H10" s="3" t="inlineStr">
        <is>
          <t>원본_대분류</t>
        </is>
      </c>
      <c r="I10" s="3" t="inlineStr">
        <is>
          <t>원본_세부분류</t>
        </is>
      </c>
      <c r="J10" s="3" t="inlineStr">
        <is>
          <t>상세태그</t>
        </is>
      </c>
      <c r="K10" s="3" t="inlineStr">
        <is>
          <t>원본금액</t>
        </is>
      </c>
      <c r="L10" s="3" t="inlineStr">
        <is>
          <t>지출금액</t>
        </is>
      </c>
      <c r="M10" s="3" t="inlineStr">
        <is>
          <t>환불/크레딧</t>
        </is>
      </c>
      <c r="N10" s="3" t="inlineStr">
        <is>
          <t>결제금액</t>
        </is>
      </c>
      <c r="O10" s="3" t="inlineStr">
        <is>
          <t>순액</t>
        </is>
      </c>
      <c r="P10" s="3" t="inlineStr">
        <is>
          <t>명세서월</t>
        </is>
      </c>
      <c r="Q10" s="3" t="inlineStr">
        <is>
          <t>원본파일</t>
        </is>
      </c>
      <c r="R10" s="3" t="inlineStr">
        <is>
          <t>사용자_대분류</t>
        </is>
      </c>
      <c r="S10" s="3" t="inlineStr">
        <is>
          <t>사용자_세부분류</t>
        </is>
      </c>
      <c r="T10" s="3" t="inlineStr">
        <is>
          <t>사용자_메모</t>
        </is>
      </c>
      <c r="U10" s="3" t="inlineStr">
        <is>
          <t>검토필요</t>
        </is>
      </c>
    </row>
    <row r="11">
      <c r="A11" s="2" t="inlineStr">
        <is>
          <t>20251209-0001</t>
        </is>
      </c>
      <c r="B11" s="8" t="n">
        <v>46000</v>
      </c>
      <c r="C11" s="8" t="n">
        <v>46000</v>
      </c>
      <c r="D11" s="2" t="inlineStr">
        <is>
          <t>Costco Anywhere Visa (Citi) ****6858</t>
        </is>
      </c>
      <c r="E11" s="2" t="inlineStr">
        <is>
          <t>구매</t>
        </is>
      </c>
      <c r="F11" s="2" t="inlineStr">
        <is>
          <t>COSTCO WHSE #0484 OREM UT</t>
        </is>
      </c>
      <c r="G11" s="2" t="inlineStr">
        <is>
          <t>Costco Warehouse</t>
        </is>
      </c>
      <c r="H11" s="2" t="inlineStr">
        <is>
          <t>식료품/생활용품</t>
        </is>
      </c>
      <c r="I11" s="2" t="inlineStr">
        <is>
          <t>Costco 매장</t>
        </is>
      </c>
      <c r="J11" s="2" t="inlineStr">
        <is>
          <t>Costco 매장</t>
        </is>
      </c>
      <c r="K11" s="4" t="n">
        <v>54.36</v>
      </c>
      <c r="L11" s="4">
        <f>IF($E11="구매",$K11,0)</f>
        <v/>
      </c>
      <c r="M11" s="4">
        <f>IF($E11="환불/크레딧",$K11,0)</f>
        <v/>
      </c>
      <c r="N11" s="4">
        <f>IF($E11="결제",$K11,0)</f>
        <v/>
      </c>
      <c r="O11" s="4">
        <f>$K11</f>
        <v/>
      </c>
      <c r="P11" s="2" t="inlineStr">
        <is>
          <t>2026-01</t>
        </is>
      </c>
      <c r="Q11" s="2" t="inlineStr">
        <is>
          <t>January2026_f0b0.pdf</t>
        </is>
      </c>
      <c r="R11" s="2" t="inlineStr"/>
      <c r="S11" s="2" t="inlineStr"/>
      <c r="T11" s="2" t="inlineStr"/>
      <c r="U11" s="2" t="inlineStr"/>
    </row>
    <row r="12">
      <c r="A12" s="2" t="inlineStr">
        <is>
          <t>20251216-0002</t>
        </is>
      </c>
      <c r="B12" s="8" t="n">
        <v>46007</v>
      </c>
      <c r="C12" s="8" t="n">
        <v>46007</v>
      </c>
      <c r="D12" s="2" t="inlineStr">
        <is>
          <t>Costco Anywhere Visa (Citi) ****6858</t>
        </is>
      </c>
      <c r="E12" s="2" t="inlineStr">
        <is>
          <t>구매</t>
        </is>
      </c>
      <c r="F12" s="2" t="inlineStr">
        <is>
          <t>COSTCO GAS #0484 OREM UT</t>
        </is>
      </c>
      <c r="G12" s="2" t="inlineStr">
        <is>
          <t>Costco Gas</t>
        </is>
      </c>
      <c r="H12" s="2" t="inlineStr">
        <is>
          <t>교통/주유</t>
        </is>
      </c>
      <c r="I12" s="2" t="inlineStr">
        <is>
          <t>주유</t>
        </is>
      </c>
      <c r="J12" s="2" t="inlineStr">
        <is>
          <t>Costco Gas</t>
        </is>
      </c>
      <c r="K12" s="4" t="n">
        <v>24.43</v>
      </c>
      <c r="L12" s="4">
        <f>IF($E12="구매",$K12,0)</f>
        <v/>
      </c>
      <c r="M12" s="4">
        <f>IF($E12="환불/크레딧",$K12,0)</f>
        <v/>
      </c>
      <c r="N12" s="4">
        <f>IF($E12="결제",$K12,0)</f>
        <v/>
      </c>
      <c r="O12" s="4">
        <f>$K12</f>
        <v/>
      </c>
      <c r="P12" s="2" t="inlineStr">
        <is>
          <t>2026-01</t>
        </is>
      </c>
      <c r="Q12" s="2" t="inlineStr">
        <is>
          <t>January2026_f0b0.pdf</t>
        </is>
      </c>
      <c r="R12" s="2" t="inlineStr"/>
      <c r="S12" s="2" t="inlineStr"/>
      <c r="T12" s="2" t="inlineStr"/>
      <c r="U12" s="2" t="inlineStr"/>
    </row>
    <row r="13">
      <c r="A13" s="2" t="inlineStr">
        <is>
          <t>20251220-0003</t>
        </is>
      </c>
      <c r="B13" s="8" t="n">
        <v>46011</v>
      </c>
      <c r="C13" s="8" t="n">
        <v>46011</v>
      </c>
      <c r="D13" s="2" t="inlineStr">
        <is>
          <t>Costco Anywhere Visa (Citi) ****6858</t>
        </is>
      </c>
      <c r="E13" s="2" t="inlineStr">
        <is>
          <t>구매</t>
        </is>
      </c>
      <c r="F13" s="2" t="inlineStr">
        <is>
          <t>COSTCO WHSE #0484 OREM UT</t>
        </is>
      </c>
      <c r="G13" s="2" t="inlineStr">
        <is>
          <t>Costco Warehouse</t>
        </is>
      </c>
      <c r="H13" s="2" t="inlineStr">
        <is>
          <t>식료품/생활용품</t>
        </is>
      </c>
      <c r="I13" s="2" t="inlineStr">
        <is>
          <t>Costco 매장</t>
        </is>
      </c>
      <c r="J13" s="2" t="inlineStr">
        <is>
          <t>Costco 매장</t>
        </is>
      </c>
      <c r="K13" s="4" t="n">
        <v>65.52</v>
      </c>
      <c r="L13" s="4">
        <f>IF($E13="구매",$K13,0)</f>
        <v/>
      </c>
      <c r="M13" s="4">
        <f>IF($E13="환불/크레딧",$K13,0)</f>
        <v/>
      </c>
      <c r="N13" s="4">
        <f>IF($E13="결제",$K13,0)</f>
        <v/>
      </c>
      <c r="O13" s="4">
        <f>$K13</f>
        <v/>
      </c>
      <c r="P13" s="2" t="inlineStr">
        <is>
          <t>2026-01</t>
        </is>
      </c>
      <c r="Q13" s="2" t="inlineStr">
        <is>
          <t>January2026_f0b0.pdf</t>
        </is>
      </c>
      <c r="R13" s="2" t="inlineStr"/>
      <c r="S13" s="2" t="inlineStr"/>
      <c r="T13" s="2" t="inlineStr"/>
      <c r="U13" s="2" t="inlineStr"/>
    </row>
  </sheetData>
  <autoFilter ref="A10:U13"/>
  <conditionalFormatting sqref="U11:U13">
    <cfRule type="cellIs" priority="1" operator="equal" dxfId="0">
      <formula>"확인"</formula>
    </cfRule>
  </conditionalFormatting>
  <dataValidations count="3">
    <dataValidation sqref="R11:R13" showDropDown="0" showInputMessage="0" showErrorMessage="0" allowBlank="1" type="list">
      <formula1>'분류목록'!$A$2:$A$9</formula1>
    </dataValidation>
    <dataValidation sqref="S11:S13" showDropDown="0" showInputMessage="0" showErrorMessage="0" allowBlank="1" type="list">
      <formula1>'분류목록'!$B$2:$B$10</formula1>
    </dataValidation>
    <dataValidation sqref="E11:E13" showDropDown="0" showInputMessage="0" showErrorMessage="0" allowBlank="0" type="list">
      <formula1>"구매,환불/크레딧,결제"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  <col width="16" customWidth="1" min="9" max="9"/>
    <col width="14" customWidth="1" min="10" max="10"/>
    <col width="10" customWidth="1" min="11" max="11"/>
  </cols>
  <sheetData>
    <row r="1">
      <c r="A1" s="3" t="inlineStr">
        <is>
          <t>원본파일</t>
        </is>
      </c>
      <c r="B1" s="3" t="inlineStr">
        <is>
          <t>카드</t>
        </is>
      </c>
      <c r="C1" s="3" t="inlineStr">
        <is>
          <t>명세서월</t>
        </is>
      </c>
      <c r="D1" s="3" t="inlineStr">
        <is>
          <t>시작일</t>
        </is>
      </c>
      <c r="E1" s="3" t="inlineStr">
        <is>
          <t>종료일</t>
        </is>
      </c>
      <c r="F1" s="3" t="inlineStr">
        <is>
          <t>명세서 구매합계</t>
        </is>
      </c>
      <c r="G1" s="3" t="inlineStr">
        <is>
          <t>추출 구매합계</t>
        </is>
      </c>
      <c r="H1" s="3" t="inlineStr">
        <is>
          <t>차이</t>
        </is>
      </c>
      <c r="I1" s="3" t="inlineStr">
        <is>
          <t>추출 환불/크레딧</t>
        </is>
      </c>
      <c r="J1" s="3" t="inlineStr">
        <is>
          <t>추출 결제</t>
        </is>
      </c>
      <c r="K1" s="3" t="inlineStr">
        <is>
          <t>거래 수</t>
        </is>
      </c>
    </row>
    <row r="2">
      <c r="A2" s="2" t="inlineStr">
        <is>
          <t>January2026_f0b0.pdf</t>
        </is>
      </c>
      <c r="B2" s="2" t="inlineStr">
        <is>
          <t>Costco Anywhere Visa (Citi) ****6858</t>
        </is>
      </c>
      <c r="C2" s="2" t="inlineStr">
        <is>
          <t>2026-01</t>
        </is>
      </c>
      <c r="D2" s="8" t="n">
        <v>45996</v>
      </c>
      <c r="E2" s="8" t="n">
        <v>46028</v>
      </c>
      <c r="F2" s="4" t="n">
        <v>267.25</v>
      </c>
      <c r="G2" s="4" t="n">
        <v>267.25</v>
      </c>
      <c r="H2" s="4">
        <f>G2-F2</f>
        <v/>
      </c>
      <c r="I2" s="4" t="n">
        <v>0</v>
      </c>
      <c r="J2" s="4" t="n">
        <v>-406.15</v>
      </c>
      <c r="K2" s="2" t="n">
        <v>6</v>
      </c>
    </row>
    <row r="3">
      <c r="A3" s="2" t="inlineStr">
        <is>
          <t>February2026_f8d6.pdf</t>
        </is>
      </c>
      <c r="B3" s="2" t="inlineStr">
        <is>
          <t>Costco Anywhere Visa (Citi) ****6858</t>
        </is>
      </c>
      <c r="C3" s="2" t="inlineStr">
        <is>
          <t>2026-02</t>
        </is>
      </c>
      <c r="D3" s="8" t="n">
        <v>46029</v>
      </c>
      <c r="E3" s="8" t="n">
        <v>46058</v>
      </c>
      <c r="F3" s="4" t="n">
        <v>203.95</v>
      </c>
      <c r="G3" s="4" t="n">
        <v>203.95</v>
      </c>
      <c r="H3" s="4">
        <f>G3-F3</f>
        <v/>
      </c>
      <c r="I3" s="4" t="n">
        <v>0</v>
      </c>
      <c r="J3" s="4" t="n">
        <v>-162.37</v>
      </c>
      <c r="K3" s="2" t="n">
        <v>7</v>
      </c>
    </row>
    <row r="4">
      <c r="A4" s="2" t="inlineStr">
        <is>
          <t>March2026_da89.pdf</t>
        </is>
      </c>
      <c r="B4" s="2" t="inlineStr">
        <is>
          <t>Costco Anywhere Visa (Citi) ****6858</t>
        </is>
      </c>
      <c r="C4" s="2" t="inlineStr">
        <is>
          <t>2026-03</t>
        </is>
      </c>
      <c r="D4" s="8" t="n">
        <v>46059</v>
      </c>
      <c r="E4" s="8" t="n">
        <v>46086</v>
      </c>
      <c r="F4" s="4" t="n">
        <v>553.37</v>
      </c>
      <c r="G4" s="4" t="n">
        <v>553.37</v>
      </c>
      <c r="H4" s="4">
        <f>G4-F4</f>
        <v/>
      </c>
      <c r="I4" s="4" t="n">
        <v>-32.21</v>
      </c>
      <c r="J4" s="4" t="n">
        <v>-380.69</v>
      </c>
      <c r="K4" s="2" t="n">
        <v>7</v>
      </c>
    </row>
    <row r="5">
      <c r="A5" s="2" t="inlineStr">
        <is>
          <t>April2026_4952.pdf</t>
        </is>
      </c>
      <c r="B5" s="2" t="inlineStr">
        <is>
          <t>Costco Anywhere Visa (Citi) ****6858</t>
        </is>
      </c>
      <c r="C5" s="2" t="inlineStr">
        <is>
          <t>2026-04</t>
        </is>
      </c>
      <c r="D5" s="8" t="n">
        <v>46087</v>
      </c>
      <c r="E5" s="8" t="n">
        <v>46118</v>
      </c>
      <c r="F5" s="4" t="n">
        <v>339.32</v>
      </c>
      <c r="G5" s="4" t="n">
        <v>339.32</v>
      </c>
      <c r="H5" s="4">
        <f>G5-F5</f>
        <v/>
      </c>
      <c r="I5" s="4" t="n">
        <v>0</v>
      </c>
      <c r="J5" s="4" t="n">
        <v>-438.11</v>
      </c>
      <c r="K5" s="2" t="n">
        <v>8</v>
      </c>
    </row>
    <row r="6">
      <c r="A6" s="2" t="inlineStr">
        <is>
          <t>May2026_2c5d.pdf</t>
        </is>
      </c>
      <c r="B6" s="2" t="inlineStr">
        <is>
          <t>Costco Anywhere Visa (Citi) ****6858</t>
        </is>
      </c>
      <c r="C6" s="2" t="inlineStr">
        <is>
          <t>2026-05</t>
        </is>
      </c>
      <c r="D6" s="8" t="n">
        <v>46119</v>
      </c>
      <c r="E6" s="8" t="n">
        <v>46148</v>
      </c>
      <c r="F6" s="4" t="n">
        <v>353.5</v>
      </c>
      <c r="G6" s="4" t="n">
        <v>353.5</v>
      </c>
      <c r="H6" s="4">
        <f>G6-F6</f>
        <v/>
      </c>
      <c r="I6" s="4" t="n">
        <v>0</v>
      </c>
      <c r="J6" s="4" t="n">
        <v>-365.66</v>
      </c>
      <c r="K6" s="2" t="n">
        <v>8</v>
      </c>
    </row>
    <row r="7">
      <c r="A7" s="2" t="inlineStr">
        <is>
          <t>June2026_4656.pdf</t>
        </is>
      </c>
      <c r="B7" s="2" t="inlineStr">
        <is>
          <t>Costco Anywhere Visa (Citi) ****6858</t>
        </is>
      </c>
      <c r="C7" s="2" t="inlineStr">
        <is>
          <t>2026-06</t>
        </is>
      </c>
      <c r="D7" s="8" t="n">
        <v>46149</v>
      </c>
      <c r="E7" s="8" t="n">
        <v>46177</v>
      </c>
      <c r="F7" s="4" t="n">
        <v>713.17</v>
      </c>
      <c r="G7" s="4" t="n">
        <v>713.17</v>
      </c>
      <c r="H7" s="4">
        <f>G7-F7</f>
        <v/>
      </c>
      <c r="I7" s="4" t="n">
        <v>0</v>
      </c>
      <c r="J7" s="4" t="n">
        <v>-718.39</v>
      </c>
      <c r="K7" s="2" t="n">
        <v>7</v>
      </c>
    </row>
    <row r="8">
      <c r="A8" s="2" t="inlineStr">
        <is>
          <t>F25604AB-F6FC-4AC2-96CD-5E3363840815-list_adc9.pdf</t>
        </is>
      </c>
      <c r="B8" s="2" t="inlineStr">
        <is>
          <t>Prime Visa (Chase) ****6217</t>
        </is>
      </c>
      <c r="C8" s="2" t="inlineStr">
        <is>
          <t>2026-01</t>
        </is>
      </c>
      <c r="D8" s="8" t="n">
        <v>46020</v>
      </c>
      <c r="E8" s="8" t="n">
        <v>46050</v>
      </c>
      <c r="F8" s="4" t="n">
        <v>0</v>
      </c>
      <c r="G8" s="4" t="n">
        <v>0</v>
      </c>
      <c r="H8" s="4">
        <f>G8-F8</f>
        <v/>
      </c>
      <c r="I8" s="4" t="n">
        <v>0</v>
      </c>
      <c r="J8" s="4" t="n">
        <v>0</v>
      </c>
      <c r="K8" s="2" t="n">
        <v>0</v>
      </c>
    </row>
    <row r="9">
      <c r="A9" s="2" t="inlineStr">
        <is>
          <t>B3CDA793-1958-4FE0-A464-444F7501BD7F-list_3284.pdf</t>
        </is>
      </c>
      <c r="B9" s="2" t="inlineStr">
        <is>
          <t>Prime Visa (Chase) ****6217</t>
        </is>
      </c>
      <c r="C9" s="2" t="inlineStr">
        <is>
          <t>2026-02</t>
        </is>
      </c>
      <c r="D9" s="8" t="n">
        <v>46051</v>
      </c>
      <c r="E9" s="8" t="n">
        <v>46081</v>
      </c>
      <c r="F9" s="4" t="n">
        <v>0.53</v>
      </c>
      <c r="G9" s="4" t="n">
        <v>0.53</v>
      </c>
      <c r="H9" s="4">
        <f>G9-F9</f>
        <v/>
      </c>
      <c r="I9" s="4" t="n">
        <v>0</v>
      </c>
      <c r="J9" s="4" t="n">
        <v>0</v>
      </c>
      <c r="K9" s="2" t="n">
        <v>1</v>
      </c>
    </row>
    <row r="10">
      <c r="A10" s="2" t="inlineStr">
        <is>
          <t>36C0F7B9-D67A-4AE6-9684-B5F848CBA9D5-list_4699.pdf</t>
        </is>
      </c>
      <c r="B10" s="2" t="inlineStr">
        <is>
          <t>Prime Visa (Chase) ****6217</t>
        </is>
      </c>
      <c r="C10" s="2" t="inlineStr">
        <is>
          <t>2026-03</t>
        </is>
      </c>
      <c r="D10" s="8" t="n">
        <v>46082</v>
      </c>
      <c r="E10" s="8" t="n">
        <v>46109</v>
      </c>
      <c r="F10" s="4" t="n">
        <v>37.6</v>
      </c>
      <c r="G10" s="4" t="n">
        <v>37.6</v>
      </c>
      <c r="H10" s="4">
        <f>G10-F10</f>
        <v/>
      </c>
      <c r="I10" s="4" t="n">
        <v>0</v>
      </c>
      <c r="J10" s="4" t="n">
        <v>0</v>
      </c>
      <c r="K10" s="2" t="n">
        <v>1</v>
      </c>
    </row>
    <row r="11">
      <c r="A11" s="2" t="inlineStr">
        <is>
          <t>BE3F4263-FAF2-4A9C-87A5-53852C30604D-list_09af.pdf</t>
        </is>
      </c>
      <c r="B11" s="2" t="inlineStr">
        <is>
          <t>Prime Visa (Chase) ****6217</t>
        </is>
      </c>
      <c r="C11" s="2" t="inlineStr">
        <is>
          <t>2026-04</t>
        </is>
      </c>
      <c r="D11" s="8" t="n">
        <v>46110</v>
      </c>
      <c r="E11" s="8" t="n">
        <v>46140</v>
      </c>
      <c r="F11" s="4" t="n">
        <v>204.69</v>
      </c>
      <c r="G11" s="4" t="n">
        <v>204.69</v>
      </c>
      <c r="H11" s="4">
        <f>G11-F11</f>
        <v/>
      </c>
      <c r="I11" s="4" t="n">
        <v>-9.19</v>
      </c>
      <c r="J11" s="4" t="n">
        <v>-120.95</v>
      </c>
      <c r="K11" s="2" t="n">
        <v>13</v>
      </c>
    </row>
    <row r="12">
      <c r="A12" s="2" t="inlineStr">
        <is>
          <t>69212C10-1B95-4A05-9104-379BBA52768F-list_d242.pdf</t>
        </is>
      </c>
      <c r="B12" s="2" t="inlineStr">
        <is>
          <t>Prime Visa (Chase) ****6217</t>
        </is>
      </c>
      <c r="C12" s="2" t="inlineStr">
        <is>
          <t>2026-05</t>
        </is>
      </c>
      <c r="D12" s="8" t="n">
        <v>46141</v>
      </c>
      <c r="E12" s="8" t="n">
        <v>46170</v>
      </c>
      <c r="F12" s="4" t="n">
        <v>233.08</v>
      </c>
      <c r="G12" s="4" t="n">
        <v>233.08</v>
      </c>
      <c r="H12" s="4">
        <f>G12-F12</f>
        <v/>
      </c>
      <c r="I12" s="4" t="n">
        <v>-103.7</v>
      </c>
      <c r="J12" s="4" t="n">
        <v>-166.25</v>
      </c>
      <c r="K12" s="2" t="n">
        <v>21</v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2026-06-11T22:38:34Z</dcterms:created>
  <dcterms:modified xsi:type="dcterms:W3CDTF">2026-06-11T22:38:34Z</dcterms:modified>
</cp:coreProperties>
</file>